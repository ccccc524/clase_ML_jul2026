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castro/Desktop/Carlos/cursos/ITAM/Analisis_MBA_octubre2024/Clase5/"/>
    </mc:Choice>
  </mc:AlternateContent>
  <xr:revisionPtr revIDLastSave="0" documentId="13_ncr:1_{AA65D1D9-54AC-9945-B2EC-EFE5F1924D29}" xr6:coauthVersionLast="47" xr6:coauthVersionMax="47" xr10:uidLastSave="{00000000-0000-0000-0000-000000000000}"/>
  <bookViews>
    <workbookView xWindow="680" yWindow="740" windowWidth="28040" windowHeight="15760" xr2:uid="{39F7CB4D-C6E0-604F-9F05-687A43551F9C}"/>
  </bookViews>
  <sheets>
    <sheet name="Base de datos" sheetId="1" r:id="rId1"/>
    <sheet name="BD Variables Adicionales" sheetId="3" r:id="rId2"/>
  </sheets>
  <definedNames>
    <definedName name="_xlnm._FilterDatabase" localSheetId="0" hidden="1">'Base de datos'!$A$1:$H$493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3" i="3"/>
  <c r="K3" i="3"/>
  <c r="L3" i="3"/>
  <c r="M3" i="3" s="1"/>
  <c r="I4" i="3"/>
  <c r="J4" i="3"/>
  <c r="L4" i="3" s="1"/>
  <c r="K4" i="3"/>
  <c r="M4" i="3" s="1"/>
  <c r="I5" i="3"/>
  <c r="J5" i="3"/>
  <c r="L5" i="3" s="1"/>
  <c r="K5" i="3"/>
  <c r="M5" i="3" s="1"/>
  <c r="I6" i="3"/>
  <c r="J6" i="3"/>
  <c r="L6" i="3" s="1"/>
  <c r="M6" i="3" s="1"/>
  <c r="K6" i="3"/>
  <c r="I7" i="3"/>
  <c r="J7" i="3"/>
  <c r="K7" i="3"/>
  <c r="M7" i="3" s="1"/>
  <c r="L7" i="3"/>
  <c r="I8" i="3"/>
  <c r="J8" i="3"/>
  <c r="K8" i="3"/>
  <c r="M8" i="3" s="1"/>
  <c r="L8" i="3"/>
  <c r="I9" i="3"/>
  <c r="J9" i="3"/>
  <c r="L9" i="3" s="1"/>
  <c r="K9" i="3"/>
  <c r="I10" i="3"/>
  <c r="J10" i="3"/>
  <c r="L10" i="3" s="1"/>
  <c r="M10" i="3" s="1"/>
  <c r="K10" i="3"/>
  <c r="I11" i="3"/>
  <c r="J11" i="3"/>
  <c r="K11" i="3"/>
  <c r="L11" i="3"/>
  <c r="M11" i="3" s="1"/>
  <c r="I12" i="3"/>
  <c r="J12" i="3"/>
  <c r="L12" i="3" s="1"/>
  <c r="K12" i="3"/>
  <c r="M12" i="3" s="1"/>
  <c r="I13" i="3"/>
  <c r="J13" i="3"/>
  <c r="L13" i="3" s="1"/>
  <c r="K13" i="3"/>
  <c r="I14" i="3"/>
  <c r="J14" i="3"/>
  <c r="L14" i="3" s="1"/>
  <c r="M14" i="3" s="1"/>
  <c r="K14" i="3"/>
  <c r="I15" i="3"/>
  <c r="J15" i="3"/>
  <c r="K15" i="3"/>
  <c r="M15" i="3" s="1"/>
  <c r="L15" i="3"/>
  <c r="I16" i="3"/>
  <c r="J16" i="3"/>
  <c r="K16" i="3"/>
  <c r="M16" i="3" s="1"/>
  <c r="L16" i="3"/>
  <c r="I17" i="3"/>
  <c r="J17" i="3"/>
  <c r="L17" i="3" s="1"/>
  <c r="K17" i="3"/>
  <c r="I18" i="3"/>
  <c r="J18" i="3"/>
  <c r="L18" i="3" s="1"/>
  <c r="K18" i="3"/>
  <c r="M18" i="3"/>
  <c r="I19" i="3"/>
  <c r="J19" i="3"/>
  <c r="K19" i="3"/>
  <c r="L19" i="3"/>
  <c r="M19" i="3" s="1"/>
  <c r="I20" i="3"/>
  <c r="J20" i="3"/>
  <c r="L20" i="3" s="1"/>
  <c r="K20" i="3"/>
  <c r="I21" i="3"/>
  <c r="J21" i="3"/>
  <c r="L21" i="3" s="1"/>
  <c r="K21" i="3"/>
  <c r="I22" i="3"/>
  <c r="J22" i="3"/>
  <c r="L22" i="3" s="1"/>
  <c r="M22" i="3" s="1"/>
  <c r="K22" i="3"/>
  <c r="I23" i="3"/>
  <c r="J23" i="3"/>
  <c r="K23" i="3"/>
  <c r="M23" i="3" s="1"/>
  <c r="L23" i="3"/>
  <c r="I24" i="3"/>
  <c r="J24" i="3"/>
  <c r="K24" i="3"/>
  <c r="M24" i="3" s="1"/>
  <c r="L24" i="3"/>
  <c r="I25" i="3"/>
  <c r="J25" i="3"/>
  <c r="L25" i="3" s="1"/>
  <c r="K25" i="3"/>
  <c r="M25" i="3" s="1"/>
  <c r="I26" i="3"/>
  <c r="J26" i="3"/>
  <c r="L26" i="3" s="1"/>
  <c r="K26" i="3"/>
  <c r="M26" i="3"/>
  <c r="I27" i="3"/>
  <c r="J27" i="3"/>
  <c r="K27" i="3"/>
  <c r="L27" i="3"/>
  <c r="M27" i="3" s="1"/>
  <c r="I28" i="3"/>
  <c r="J28" i="3"/>
  <c r="L28" i="3" s="1"/>
  <c r="K28" i="3"/>
  <c r="M28" i="3" s="1"/>
  <c r="I29" i="3"/>
  <c r="J29" i="3"/>
  <c r="L29" i="3" s="1"/>
  <c r="K29" i="3"/>
  <c r="M29" i="3" s="1"/>
  <c r="I30" i="3"/>
  <c r="J30" i="3"/>
  <c r="L30" i="3" s="1"/>
  <c r="M30" i="3" s="1"/>
  <c r="K30" i="3"/>
  <c r="I31" i="3"/>
  <c r="J31" i="3"/>
  <c r="K31" i="3"/>
  <c r="L31" i="3"/>
  <c r="I32" i="3"/>
  <c r="J32" i="3"/>
  <c r="K32" i="3"/>
  <c r="M32" i="3" s="1"/>
  <c r="L32" i="3"/>
  <c r="I33" i="3"/>
  <c r="J33" i="3"/>
  <c r="L33" i="3" s="1"/>
  <c r="K33" i="3"/>
  <c r="M33" i="3" s="1"/>
  <c r="I34" i="3"/>
  <c r="J34" i="3"/>
  <c r="L34" i="3" s="1"/>
  <c r="M34" i="3" s="1"/>
  <c r="K34" i="3"/>
  <c r="I35" i="3"/>
  <c r="J35" i="3"/>
  <c r="K35" i="3"/>
  <c r="L35" i="3"/>
  <c r="M35" i="3" s="1"/>
  <c r="I36" i="3"/>
  <c r="J36" i="3"/>
  <c r="L36" i="3" s="1"/>
  <c r="K36" i="3"/>
  <c r="I37" i="3"/>
  <c r="J37" i="3"/>
  <c r="L37" i="3" s="1"/>
  <c r="K37" i="3"/>
  <c r="M37" i="3" s="1"/>
  <c r="I38" i="3"/>
  <c r="J38" i="3"/>
  <c r="L38" i="3" s="1"/>
  <c r="K38" i="3"/>
  <c r="M38" i="3"/>
  <c r="I39" i="3"/>
  <c r="J39" i="3"/>
  <c r="K39" i="3"/>
  <c r="L39" i="3"/>
  <c r="I40" i="3"/>
  <c r="J40" i="3"/>
  <c r="K40" i="3"/>
  <c r="L40" i="3"/>
  <c r="I41" i="3"/>
  <c r="J41" i="3"/>
  <c r="L41" i="3" s="1"/>
  <c r="K41" i="3"/>
  <c r="I42" i="3"/>
  <c r="J42" i="3"/>
  <c r="L42" i="3" s="1"/>
  <c r="K42" i="3"/>
  <c r="M42" i="3"/>
  <c r="I43" i="3"/>
  <c r="J43" i="3"/>
  <c r="K43" i="3"/>
  <c r="L43" i="3"/>
  <c r="M43" i="3"/>
  <c r="I44" i="3"/>
  <c r="J44" i="3"/>
  <c r="L44" i="3" s="1"/>
  <c r="K44" i="3"/>
  <c r="M44" i="3" s="1"/>
  <c r="I45" i="3"/>
  <c r="J45" i="3"/>
  <c r="L45" i="3" s="1"/>
  <c r="K45" i="3"/>
  <c r="I46" i="3"/>
  <c r="J46" i="3"/>
  <c r="L46" i="3" s="1"/>
  <c r="K46" i="3"/>
  <c r="M46" i="3"/>
  <c r="I47" i="3"/>
  <c r="J47" i="3"/>
  <c r="L47" i="3" s="1"/>
  <c r="K47" i="3"/>
  <c r="I48" i="3"/>
  <c r="J48" i="3"/>
  <c r="K48" i="3"/>
  <c r="M48" i="3" s="1"/>
  <c r="L48" i="3"/>
  <c r="I49" i="3"/>
  <c r="J49" i="3"/>
  <c r="L49" i="3" s="1"/>
  <c r="K49" i="3"/>
  <c r="I50" i="3"/>
  <c r="J50" i="3"/>
  <c r="L50" i="3" s="1"/>
  <c r="K50" i="3"/>
  <c r="M50" i="3" s="1"/>
  <c r="I51" i="3"/>
  <c r="J51" i="3"/>
  <c r="K51" i="3"/>
  <c r="L51" i="3"/>
  <c r="M51" i="3"/>
  <c r="I52" i="3"/>
  <c r="J52" i="3"/>
  <c r="L52" i="3" s="1"/>
  <c r="K52" i="3"/>
  <c r="I53" i="3"/>
  <c r="J53" i="3"/>
  <c r="L53" i="3" s="1"/>
  <c r="K53" i="3"/>
  <c r="I54" i="3"/>
  <c r="J54" i="3"/>
  <c r="L54" i="3" s="1"/>
  <c r="K54" i="3"/>
  <c r="M54" i="3"/>
  <c r="I55" i="3"/>
  <c r="J55" i="3"/>
  <c r="L55" i="3" s="1"/>
  <c r="K55" i="3"/>
  <c r="I56" i="3"/>
  <c r="J56" i="3"/>
  <c r="K56" i="3"/>
  <c r="L56" i="3"/>
  <c r="M56" i="3"/>
  <c r="I57" i="3"/>
  <c r="J57" i="3"/>
  <c r="L57" i="3" s="1"/>
  <c r="K57" i="3"/>
  <c r="I58" i="3"/>
  <c r="J58" i="3"/>
  <c r="L58" i="3" s="1"/>
  <c r="K58" i="3"/>
  <c r="M58" i="3"/>
  <c r="I59" i="3"/>
  <c r="J59" i="3"/>
  <c r="K59" i="3"/>
  <c r="L59" i="3"/>
  <c r="M59" i="3"/>
  <c r="I60" i="3"/>
  <c r="J60" i="3"/>
  <c r="L60" i="3" s="1"/>
  <c r="K60" i="3"/>
  <c r="M60" i="3" s="1"/>
  <c r="I61" i="3"/>
  <c r="J61" i="3"/>
  <c r="L61" i="3" s="1"/>
  <c r="K61" i="3"/>
  <c r="I62" i="3"/>
  <c r="J62" i="3"/>
  <c r="L62" i="3" s="1"/>
  <c r="K62" i="3"/>
  <c r="M62" i="3"/>
  <c r="I63" i="3"/>
  <c r="J63" i="3"/>
  <c r="L63" i="3" s="1"/>
  <c r="K63" i="3"/>
  <c r="I64" i="3"/>
  <c r="J64" i="3"/>
  <c r="K64" i="3"/>
  <c r="L64" i="3"/>
  <c r="M64" i="3" s="1"/>
  <c r="I65" i="3"/>
  <c r="J65" i="3"/>
  <c r="L65" i="3" s="1"/>
  <c r="K65" i="3"/>
  <c r="I66" i="3"/>
  <c r="J66" i="3"/>
  <c r="L66" i="3" s="1"/>
  <c r="K66" i="3"/>
  <c r="M66" i="3"/>
  <c r="I67" i="3"/>
  <c r="J67" i="3"/>
  <c r="K67" i="3"/>
  <c r="L67" i="3"/>
  <c r="M67" i="3"/>
  <c r="I68" i="3"/>
  <c r="J68" i="3"/>
  <c r="L68" i="3" s="1"/>
  <c r="K68" i="3"/>
  <c r="M68" i="3" s="1"/>
  <c r="I69" i="3"/>
  <c r="J69" i="3"/>
  <c r="L69" i="3" s="1"/>
  <c r="K69" i="3"/>
  <c r="M69" i="3" s="1"/>
  <c r="I70" i="3"/>
  <c r="J70" i="3"/>
  <c r="L70" i="3" s="1"/>
  <c r="K70" i="3"/>
  <c r="M70" i="3"/>
  <c r="I71" i="3"/>
  <c r="J71" i="3"/>
  <c r="L71" i="3" s="1"/>
  <c r="K71" i="3"/>
  <c r="M71" i="3" s="1"/>
  <c r="I72" i="3"/>
  <c r="J72" i="3"/>
  <c r="K72" i="3"/>
  <c r="L72" i="3"/>
  <c r="M72" i="3"/>
  <c r="I73" i="3"/>
  <c r="J73" i="3"/>
  <c r="L73" i="3" s="1"/>
  <c r="K73" i="3"/>
  <c r="I74" i="3"/>
  <c r="J74" i="3"/>
  <c r="L74" i="3" s="1"/>
  <c r="K74" i="3"/>
  <c r="M74" i="3"/>
  <c r="I75" i="3"/>
  <c r="J75" i="3"/>
  <c r="K75" i="3"/>
  <c r="L75" i="3"/>
  <c r="M75" i="3"/>
  <c r="I76" i="3"/>
  <c r="J76" i="3"/>
  <c r="L76" i="3" s="1"/>
  <c r="K76" i="3"/>
  <c r="M76" i="3" s="1"/>
  <c r="I77" i="3"/>
  <c r="J77" i="3"/>
  <c r="L77" i="3" s="1"/>
  <c r="K77" i="3"/>
  <c r="I78" i="3"/>
  <c r="J78" i="3"/>
  <c r="L78" i="3" s="1"/>
  <c r="K78" i="3"/>
  <c r="M78" i="3"/>
  <c r="I79" i="3"/>
  <c r="J79" i="3"/>
  <c r="L79" i="3" s="1"/>
  <c r="K79" i="3"/>
  <c r="M79" i="3" s="1"/>
  <c r="I80" i="3"/>
  <c r="J80" i="3"/>
  <c r="K80" i="3"/>
  <c r="M80" i="3" s="1"/>
  <c r="L80" i="3"/>
  <c r="I81" i="3"/>
  <c r="J81" i="3"/>
  <c r="L81" i="3" s="1"/>
  <c r="K81" i="3"/>
  <c r="I82" i="3"/>
  <c r="J82" i="3"/>
  <c r="L82" i="3" s="1"/>
  <c r="K82" i="3"/>
  <c r="M82" i="3" s="1"/>
  <c r="I83" i="3"/>
  <c r="J83" i="3"/>
  <c r="K83" i="3"/>
  <c r="L83" i="3"/>
  <c r="M83" i="3"/>
  <c r="I84" i="3"/>
  <c r="J84" i="3"/>
  <c r="L84" i="3" s="1"/>
  <c r="K84" i="3"/>
  <c r="I85" i="3"/>
  <c r="J85" i="3"/>
  <c r="L85" i="3" s="1"/>
  <c r="K85" i="3"/>
  <c r="M85" i="3" s="1"/>
  <c r="I86" i="3"/>
  <c r="J86" i="3"/>
  <c r="L86" i="3" s="1"/>
  <c r="K86" i="3"/>
  <c r="M86" i="3"/>
  <c r="I87" i="3"/>
  <c r="J87" i="3"/>
  <c r="L87" i="3" s="1"/>
  <c r="K87" i="3"/>
  <c r="M87" i="3" s="1"/>
  <c r="I88" i="3"/>
  <c r="J88" i="3"/>
  <c r="K88" i="3"/>
  <c r="L88" i="3"/>
  <c r="M88" i="3"/>
  <c r="I89" i="3"/>
  <c r="J89" i="3"/>
  <c r="L89" i="3" s="1"/>
  <c r="K89" i="3"/>
  <c r="I90" i="3"/>
  <c r="J90" i="3"/>
  <c r="L90" i="3" s="1"/>
  <c r="K90" i="3"/>
  <c r="M90" i="3"/>
  <c r="I91" i="3"/>
  <c r="J91" i="3"/>
  <c r="K91" i="3"/>
  <c r="L91" i="3"/>
  <c r="M91" i="3"/>
  <c r="I92" i="3"/>
  <c r="J92" i="3"/>
  <c r="L92" i="3" s="1"/>
  <c r="K92" i="3"/>
  <c r="M92" i="3" s="1"/>
  <c r="I93" i="3"/>
  <c r="J93" i="3"/>
  <c r="L93" i="3" s="1"/>
  <c r="K93" i="3"/>
  <c r="I94" i="3"/>
  <c r="J94" i="3"/>
  <c r="L94" i="3" s="1"/>
  <c r="K94" i="3"/>
  <c r="M94" i="3"/>
  <c r="I95" i="3"/>
  <c r="J95" i="3"/>
  <c r="L95" i="3" s="1"/>
  <c r="K95" i="3"/>
  <c r="I96" i="3"/>
  <c r="J96" i="3"/>
  <c r="K96" i="3"/>
  <c r="L96" i="3"/>
  <c r="M96" i="3" s="1"/>
  <c r="I97" i="3"/>
  <c r="J97" i="3"/>
  <c r="L97" i="3" s="1"/>
  <c r="K97" i="3"/>
  <c r="I98" i="3"/>
  <c r="J98" i="3"/>
  <c r="L98" i="3" s="1"/>
  <c r="K98" i="3"/>
  <c r="M98" i="3"/>
  <c r="I99" i="3"/>
  <c r="J99" i="3"/>
  <c r="K99" i="3"/>
  <c r="L99" i="3"/>
  <c r="M99" i="3"/>
  <c r="I100" i="3"/>
  <c r="J100" i="3"/>
  <c r="L100" i="3" s="1"/>
  <c r="K100" i="3"/>
  <c r="M100" i="3" s="1"/>
  <c r="I101" i="3"/>
  <c r="J101" i="3"/>
  <c r="L101" i="3" s="1"/>
  <c r="K101" i="3"/>
  <c r="M101" i="3" s="1"/>
  <c r="I102" i="3"/>
  <c r="J102" i="3"/>
  <c r="L102" i="3" s="1"/>
  <c r="K102" i="3"/>
  <c r="M102" i="3"/>
  <c r="I103" i="3"/>
  <c r="J103" i="3"/>
  <c r="L103" i="3" s="1"/>
  <c r="K103" i="3"/>
  <c r="M103" i="3" s="1"/>
  <c r="I104" i="3"/>
  <c r="J104" i="3"/>
  <c r="K104" i="3"/>
  <c r="L104" i="3"/>
  <c r="M104" i="3"/>
  <c r="I105" i="3"/>
  <c r="J105" i="3"/>
  <c r="L105" i="3" s="1"/>
  <c r="K105" i="3"/>
  <c r="I106" i="3"/>
  <c r="J106" i="3"/>
  <c r="L106" i="3" s="1"/>
  <c r="K106" i="3"/>
  <c r="M106" i="3"/>
  <c r="I107" i="3"/>
  <c r="J107" i="3"/>
  <c r="K107" i="3"/>
  <c r="L107" i="3"/>
  <c r="M107" i="3"/>
  <c r="I108" i="3"/>
  <c r="J108" i="3"/>
  <c r="L108" i="3" s="1"/>
  <c r="K108" i="3"/>
  <c r="M108" i="3" s="1"/>
  <c r="I109" i="3"/>
  <c r="J109" i="3"/>
  <c r="L109" i="3" s="1"/>
  <c r="K109" i="3"/>
  <c r="I110" i="3"/>
  <c r="J110" i="3"/>
  <c r="L110" i="3" s="1"/>
  <c r="K110" i="3"/>
  <c r="M110" i="3"/>
  <c r="I111" i="3"/>
  <c r="J111" i="3"/>
  <c r="L111" i="3" s="1"/>
  <c r="K111" i="3"/>
  <c r="M111" i="3" s="1"/>
  <c r="I112" i="3"/>
  <c r="J112" i="3"/>
  <c r="K112" i="3"/>
  <c r="M112" i="3" s="1"/>
  <c r="L112" i="3"/>
  <c r="I113" i="3"/>
  <c r="J113" i="3"/>
  <c r="L113" i="3" s="1"/>
  <c r="K113" i="3"/>
  <c r="I114" i="3"/>
  <c r="J114" i="3"/>
  <c r="L114" i="3" s="1"/>
  <c r="K114" i="3"/>
  <c r="M114" i="3" s="1"/>
  <c r="I115" i="3"/>
  <c r="J115" i="3"/>
  <c r="K115" i="3"/>
  <c r="L115" i="3"/>
  <c r="M115" i="3"/>
  <c r="I116" i="3"/>
  <c r="J116" i="3"/>
  <c r="L116" i="3" s="1"/>
  <c r="K116" i="3"/>
  <c r="I117" i="3"/>
  <c r="J117" i="3"/>
  <c r="L117" i="3" s="1"/>
  <c r="K117" i="3"/>
  <c r="M117" i="3" s="1"/>
  <c r="I118" i="3"/>
  <c r="J118" i="3"/>
  <c r="L118" i="3" s="1"/>
  <c r="K118" i="3"/>
  <c r="M118" i="3"/>
  <c r="I119" i="3"/>
  <c r="J119" i="3"/>
  <c r="L119" i="3" s="1"/>
  <c r="K119" i="3"/>
  <c r="M119" i="3" s="1"/>
  <c r="I120" i="3"/>
  <c r="J120" i="3"/>
  <c r="K120" i="3"/>
  <c r="L120" i="3"/>
  <c r="M120" i="3"/>
  <c r="I121" i="3"/>
  <c r="J121" i="3"/>
  <c r="L121" i="3" s="1"/>
  <c r="K121" i="3"/>
  <c r="I122" i="3"/>
  <c r="J122" i="3"/>
  <c r="L122" i="3" s="1"/>
  <c r="K122" i="3"/>
  <c r="M122" i="3"/>
  <c r="I123" i="3"/>
  <c r="J123" i="3"/>
  <c r="K123" i="3"/>
  <c r="L123" i="3"/>
  <c r="M123" i="3"/>
  <c r="I124" i="3"/>
  <c r="J124" i="3"/>
  <c r="L124" i="3" s="1"/>
  <c r="K124" i="3"/>
  <c r="M124" i="3" s="1"/>
  <c r="I125" i="3"/>
  <c r="J125" i="3"/>
  <c r="L125" i="3" s="1"/>
  <c r="K125" i="3"/>
  <c r="I126" i="3"/>
  <c r="J126" i="3"/>
  <c r="L126" i="3" s="1"/>
  <c r="K126" i="3"/>
  <c r="M126" i="3"/>
  <c r="I127" i="3"/>
  <c r="J127" i="3"/>
  <c r="L127" i="3" s="1"/>
  <c r="K127" i="3"/>
  <c r="I128" i="3"/>
  <c r="J128" i="3"/>
  <c r="K128" i="3"/>
  <c r="M128" i="3" s="1"/>
  <c r="L128" i="3"/>
  <c r="I129" i="3"/>
  <c r="J129" i="3"/>
  <c r="L129" i="3" s="1"/>
  <c r="K129" i="3"/>
  <c r="I130" i="3"/>
  <c r="J130" i="3"/>
  <c r="L130" i="3" s="1"/>
  <c r="K130" i="3"/>
  <c r="M130" i="3"/>
  <c r="I131" i="3"/>
  <c r="J131" i="3"/>
  <c r="K131" i="3"/>
  <c r="L131" i="3"/>
  <c r="M131" i="3"/>
  <c r="I132" i="3"/>
  <c r="J132" i="3"/>
  <c r="L132" i="3" s="1"/>
  <c r="K132" i="3"/>
  <c r="M132" i="3" s="1"/>
  <c r="I133" i="3"/>
  <c r="J133" i="3"/>
  <c r="L133" i="3" s="1"/>
  <c r="K133" i="3"/>
  <c r="M133" i="3" s="1"/>
  <c r="I134" i="3"/>
  <c r="J134" i="3"/>
  <c r="L134" i="3" s="1"/>
  <c r="K134" i="3"/>
  <c r="M134" i="3"/>
  <c r="I135" i="3"/>
  <c r="J135" i="3"/>
  <c r="L135" i="3" s="1"/>
  <c r="K135" i="3"/>
  <c r="M135" i="3" s="1"/>
  <c r="I136" i="3"/>
  <c r="J136" i="3"/>
  <c r="K136" i="3"/>
  <c r="L136" i="3"/>
  <c r="M136" i="3"/>
  <c r="I137" i="3"/>
  <c r="J137" i="3"/>
  <c r="L137" i="3" s="1"/>
  <c r="K137" i="3"/>
  <c r="I138" i="3"/>
  <c r="J138" i="3"/>
  <c r="L138" i="3" s="1"/>
  <c r="K138" i="3"/>
  <c r="M138" i="3"/>
  <c r="I139" i="3"/>
  <c r="J139" i="3"/>
  <c r="K139" i="3"/>
  <c r="L139" i="3"/>
  <c r="M139" i="3"/>
  <c r="I140" i="3"/>
  <c r="J140" i="3"/>
  <c r="L140" i="3" s="1"/>
  <c r="K140" i="3"/>
  <c r="M140" i="3" s="1"/>
  <c r="I141" i="3"/>
  <c r="J141" i="3"/>
  <c r="L141" i="3" s="1"/>
  <c r="K141" i="3"/>
  <c r="I142" i="3"/>
  <c r="J142" i="3"/>
  <c r="L142" i="3" s="1"/>
  <c r="K142" i="3"/>
  <c r="M142" i="3"/>
  <c r="I143" i="3"/>
  <c r="J143" i="3"/>
  <c r="L143" i="3" s="1"/>
  <c r="K143" i="3"/>
  <c r="M143" i="3" s="1"/>
  <c r="I144" i="3"/>
  <c r="J144" i="3"/>
  <c r="K144" i="3"/>
  <c r="M144" i="3" s="1"/>
  <c r="L144" i="3"/>
  <c r="I145" i="3"/>
  <c r="J145" i="3"/>
  <c r="L145" i="3" s="1"/>
  <c r="K145" i="3"/>
  <c r="I146" i="3"/>
  <c r="J146" i="3"/>
  <c r="L146" i="3" s="1"/>
  <c r="K146" i="3"/>
  <c r="M146" i="3" s="1"/>
  <c r="I147" i="3"/>
  <c r="J147" i="3"/>
  <c r="K147" i="3"/>
  <c r="L147" i="3"/>
  <c r="M147" i="3"/>
  <c r="I148" i="3"/>
  <c r="J148" i="3"/>
  <c r="L148" i="3" s="1"/>
  <c r="K148" i="3"/>
  <c r="I149" i="3"/>
  <c r="J149" i="3"/>
  <c r="L149" i="3" s="1"/>
  <c r="K149" i="3"/>
  <c r="M149" i="3" s="1"/>
  <c r="I150" i="3"/>
  <c r="J150" i="3"/>
  <c r="L150" i="3" s="1"/>
  <c r="K150" i="3"/>
  <c r="M150" i="3"/>
  <c r="I151" i="3"/>
  <c r="J151" i="3"/>
  <c r="L151" i="3" s="1"/>
  <c r="K151" i="3"/>
  <c r="M151" i="3" s="1"/>
  <c r="I152" i="3"/>
  <c r="J152" i="3"/>
  <c r="K152" i="3"/>
  <c r="L152" i="3"/>
  <c r="M152" i="3"/>
  <c r="I153" i="3"/>
  <c r="J153" i="3"/>
  <c r="L153" i="3" s="1"/>
  <c r="K153" i="3"/>
  <c r="I154" i="3"/>
  <c r="J154" i="3"/>
  <c r="L154" i="3" s="1"/>
  <c r="K154" i="3"/>
  <c r="M154" i="3" s="1"/>
  <c r="I155" i="3"/>
  <c r="J155" i="3"/>
  <c r="K155" i="3"/>
  <c r="L155" i="3"/>
  <c r="M155" i="3"/>
  <c r="I156" i="3"/>
  <c r="J156" i="3"/>
  <c r="L156" i="3" s="1"/>
  <c r="K156" i="3"/>
  <c r="I157" i="3"/>
  <c r="J157" i="3"/>
  <c r="L157" i="3" s="1"/>
  <c r="K157" i="3"/>
  <c r="I158" i="3"/>
  <c r="J158" i="3"/>
  <c r="L158" i="3" s="1"/>
  <c r="K158" i="3"/>
  <c r="M158" i="3"/>
  <c r="I159" i="3"/>
  <c r="J159" i="3"/>
  <c r="L159" i="3" s="1"/>
  <c r="K159" i="3"/>
  <c r="I160" i="3"/>
  <c r="J160" i="3"/>
  <c r="K160" i="3"/>
  <c r="M160" i="3" s="1"/>
  <c r="L160" i="3"/>
  <c r="I161" i="3"/>
  <c r="J161" i="3"/>
  <c r="L161" i="3" s="1"/>
  <c r="K161" i="3"/>
  <c r="I162" i="3"/>
  <c r="J162" i="3"/>
  <c r="L162" i="3" s="1"/>
  <c r="K162" i="3"/>
  <c r="M162" i="3"/>
  <c r="I163" i="3"/>
  <c r="J163" i="3"/>
  <c r="K163" i="3"/>
  <c r="L163" i="3"/>
  <c r="M163" i="3"/>
  <c r="I164" i="3"/>
  <c r="J164" i="3"/>
  <c r="L164" i="3" s="1"/>
  <c r="K164" i="3"/>
  <c r="M164" i="3" s="1"/>
  <c r="I165" i="3"/>
  <c r="J165" i="3"/>
  <c r="L165" i="3" s="1"/>
  <c r="K165" i="3"/>
  <c r="M165" i="3" s="1"/>
  <c r="I166" i="3"/>
  <c r="J166" i="3"/>
  <c r="L166" i="3" s="1"/>
  <c r="K166" i="3"/>
  <c r="M166" i="3"/>
  <c r="I167" i="3"/>
  <c r="J167" i="3"/>
  <c r="L167" i="3" s="1"/>
  <c r="K167" i="3"/>
  <c r="I168" i="3"/>
  <c r="J168" i="3"/>
  <c r="K168" i="3"/>
  <c r="L168" i="3"/>
  <c r="M168" i="3"/>
  <c r="I169" i="3"/>
  <c r="J169" i="3"/>
  <c r="L169" i="3" s="1"/>
  <c r="K169" i="3"/>
  <c r="I170" i="3"/>
  <c r="J170" i="3"/>
  <c r="L170" i="3" s="1"/>
  <c r="K170" i="3"/>
  <c r="M170" i="3"/>
  <c r="I171" i="3"/>
  <c r="J171" i="3"/>
  <c r="K171" i="3"/>
  <c r="L171" i="3"/>
  <c r="M171" i="3"/>
  <c r="I172" i="3"/>
  <c r="J172" i="3"/>
  <c r="L172" i="3" s="1"/>
  <c r="K172" i="3"/>
  <c r="M172" i="3" s="1"/>
  <c r="I173" i="3"/>
  <c r="J173" i="3"/>
  <c r="L173" i="3" s="1"/>
  <c r="K173" i="3"/>
  <c r="I174" i="3"/>
  <c r="J174" i="3"/>
  <c r="L174" i="3" s="1"/>
  <c r="K174" i="3"/>
  <c r="M174" i="3"/>
  <c r="I175" i="3"/>
  <c r="J175" i="3"/>
  <c r="L175" i="3" s="1"/>
  <c r="K175" i="3"/>
  <c r="M175" i="3" s="1"/>
  <c r="I176" i="3"/>
  <c r="J176" i="3"/>
  <c r="K176" i="3"/>
  <c r="M176" i="3" s="1"/>
  <c r="L176" i="3"/>
  <c r="I177" i="3"/>
  <c r="J177" i="3"/>
  <c r="L177" i="3" s="1"/>
  <c r="K177" i="3"/>
  <c r="I178" i="3"/>
  <c r="J178" i="3"/>
  <c r="L178" i="3" s="1"/>
  <c r="K178" i="3"/>
  <c r="M178" i="3" s="1"/>
  <c r="I179" i="3"/>
  <c r="J179" i="3"/>
  <c r="K179" i="3"/>
  <c r="L179" i="3"/>
  <c r="M179" i="3"/>
  <c r="I180" i="3"/>
  <c r="J180" i="3"/>
  <c r="L180" i="3" s="1"/>
  <c r="K180" i="3"/>
  <c r="I181" i="3"/>
  <c r="J181" i="3"/>
  <c r="L181" i="3" s="1"/>
  <c r="K181" i="3"/>
  <c r="M181" i="3" s="1"/>
  <c r="I182" i="3"/>
  <c r="J182" i="3"/>
  <c r="L182" i="3" s="1"/>
  <c r="K182" i="3"/>
  <c r="M182" i="3"/>
  <c r="I183" i="3"/>
  <c r="J183" i="3"/>
  <c r="L183" i="3" s="1"/>
  <c r="K183" i="3"/>
  <c r="M183" i="3" s="1"/>
  <c r="I184" i="3"/>
  <c r="J184" i="3"/>
  <c r="K184" i="3"/>
  <c r="L184" i="3"/>
  <c r="M184" i="3"/>
  <c r="I185" i="3"/>
  <c r="J185" i="3"/>
  <c r="L185" i="3" s="1"/>
  <c r="K185" i="3"/>
  <c r="I186" i="3"/>
  <c r="J186" i="3"/>
  <c r="L186" i="3" s="1"/>
  <c r="K186" i="3"/>
  <c r="M186" i="3" s="1"/>
  <c r="I187" i="3"/>
  <c r="J187" i="3"/>
  <c r="K187" i="3"/>
  <c r="L187" i="3"/>
  <c r="M187" i="3"/>
  <c r="I188" i="3"/>
  <c r="J188" i="3"/>
  <c r="L188" i="3" s="1"/>
  <c r="K188" i="3"/>
  <c r="I189" i="3"/>
  <c r="J189" i="3"/>
  <c r="L189" i="3" s="1"/>
  <c r="K189" i="3"/>
  <c r="I190" i="3"/>
  <c r="J190" i="3"/>
  <c r="L190" i="3" s="1"/>
  <c r="K190" i="3"/>
  <c r="M190" i="3"/>
  <c r="I191" i="3"/>
  <c r="J191" i="3"/>
  <c r="L191" i="3" s="1"/>
  <c r="K191" i="3"/>
  <c r="I192" i="3"/>
  <c r="J192" i="3"/>
  <c r="K192" i="3"/>
  <c r="M192" i="3" s="1"/>
  <c r="L192" i="3"/>
  <c r="I193" i="3"/>
  <c r="J193" i="3"/>
  <c r="L193" i="3" s="1"/>
  <c r="K193" i="3"/>
  <c r="I194" i="3"/>
  <c r="J194" i="3"/>
  <c r="L194" i="3" s="1"/>
  <c r="K194" i="3"/>
  <c r="M194" i="3" s="1"/>
  <c r="I195" i="3"/>
  <c r="J195" i="3"/>
  <c r="K195" i="3"/>
  <c r="L195" i="3"/>
  <c r="M195" i="3"/>
  <c r="I196" i="3"/>
  <c r="J196" i="3"/>
  <c r="L196" i="3" s="1"/>
  <c r="K196" i="3"/>
  <c r="M196" i="3" s="1"/>
  <c r="I197" i="3"/>
  <c r="J197" i="3"/>
  <c r="L197" i="3" s="1"/>
  <c r="K197" i="3"/>
  <c r="M197" i="3" s="1"/>
  <c r="I198" i="3"/>
  <c r="J198" i="3"/>
  <c r="L198" i="3" s="1"/>
  <c r="K198" i="3"/>
  <c r="M198" i="3"/>
  <c r="I199" i="3"/>
  <c r="J199" i="3"/>
  <c r="L199" i="3" s="1"/>
  <c r="K199" i="3"/>
  <c r="I200" i="3"/>
  <c r="J200" i="3"/>
  <c r="K200" i="3"/>
  <c r="L200" i="3"/>
  <c r="M200" i="3"/>
  <c r="I201" i="3"/>
  <c r="J201" i="3"/>
  <c r="L201" i="3" s="1"/>
  <c r="K201" i="3"/>
  <c r="I202" i="3"/>
  <c r="J202" i="3"/>
  <c r="K202" i="3"/>
  <c r="L202" i="3"/>
  <c r="M202" i="3"/>
  <c r="I203" i="3"/>
  <c r="J203" i="3"/>
  <c r="K203" i="3"/>
  <c r="L203" i="3"/>
  <c r="M203" i="3"/>
  <c r="I204" i="3"/>
  <c r="J204" i="3"/>
  <c r="L204" i="3" s="1"/>
  <c r="K204" i="3"/>
  <c r="M204" i="3" s="1"/>
  <c r="I205" i="3"/>
  <c r="J205" i="3"/>
  <c r="L205" i="3" s="1"/>
  <c r="M205" i="3" s="1"/>
  <c r="K205" i="3"/>
  <c r="I206" i="3"/>
  <c r="J206" i="3"/>
  <c r="L206" i="3" s="1"/>
  <c r="K206" i="3"/>
  <c r="M206" i="3"/>
  <c r="I207" i="3"/>
  <c r="J207" i="3"/>
  <c r="K207" i="3"/>
  <c r="L207" i="3"/>
  <c r="I208" i="3"/>
  <c r="J208" i="3"/>
  <c r="K208" i="3"/>
  <c r="L208" i="3"/>
  <c r="M208" i="3"/>
  <c r="I209" i="3"/>
  <c r="J209" i="3"/>
  <c r="L209" i="3" s="1"/>
  <c r="K209" i="3"/>
  <c r="M209" i="3" s="1"/>
  <c r="I210" i="3"/>
  <c r="J210" i="3"/>
  <c r="K210" i="3"/>
  <c r="L210" i="3"/>
  <c r="M210" i="3"/>
  <c r="I211" i="3"/>
  <c r="J211" i="3"/>
  <c r="K211" i="3"/>
  <c r="L211" i="3"/>
  <c r="M211" i="3" s="1"/>
  <c r="I212" i="3"/>
  <c r="J212" i="3"/>
  <c r="L212" i="3" s="1"/>
  <c r="K212" i="3"/>
  <c r="M212" i="3" s="1"/>
  <c r="I213" i="3"/>
  <c r="J213" i="3"/>
  <c r="K213" i="3"/>
  <c r="L213" i="3"/>
  <c r="M213" i="3" s="1"/>
  <c r="I214" i="3"/>
  <c r="J214" i="3"/>
  <c r="L214" i="3" s="1"/>
  <c r="M214" i="3" s="1"/>
  <c r="K214" i="3"/>
  <c r="I215" i="3"/>
  <c r="J215" i="3"/>
  <c r="K215" i="3"/>
  <c r="L215" i="3"/>
  <c r="I216" i="3"/>
  <c r="J216" i="3"/>
  <c r="K216" i="3"/>
  <c r="M216" i="3" s="1"/>
  <c r="L216" i="3"/>
  <c r="I217" i="3"/>
  <c r="J217" i="3"/>
  <c r="L217" i="3" s="1"/>
  <c r="K217" i="3"/>
  <c r="I218" i="3"/>
  <c r="J218" i="3"/>
  <c r="L218" i="3" s="1"/>
  <c r="K218" i="3"/>
  <c r="I219" i="3"/>
  <c r="J219" i="3"/>
  <c r="K219" i="3"/>
  <c r="L219" i="3"/>
  <c r="M219" i="3" s="1"/>
  <c r="I220" i="3"/>
  <c r="J220" i="3"/>
  <c r="L220" i="3" s="1"/>
  <c r="K220" i="3"/>
  <c r="M220" i="3" s="1"/>
  <c r="I221" i="3"/>
  <c r="J221" i="3"/>
  <c r="L221" i="3" s="1"/>
  <c r="K221" i="3"/>
  <c r="I222" i="3"/>
  <c r="J222" i="3"/>
  <c r="L222" i="3" s="1"/>
  <c r="K222" i="3"/>
  <c r="M222" i="3"/>
  <c r="I223" i="3"/>
  <c r="J223" i="3"/>
  <c r="L223" i="3" s="1"/>
  <c r="K223" i="3"/>
  <c r="I224" i="3"/>
  <c r="J224" i="3"/>
  <c r="K224" i="3"/>
  <c r="L224" i="3"/>
  <c r="M224" i="3"/>
  <c r="I225" i="3"/>
  <c r="J225" i="3"/>
  <c r="L225" i="3" s="1"/>
  <c r="K225" i="3"/>
  <c r="I226" i="3"/>
  <c r="J226" i="3"/>
  <c r="K226" i="3"/>
  <c r="L226" i="3"/>
  <c r="M226" i="3"/>
  <c r="I227" i="3"/>
  <c r="J227" i="3"/>
  <c r="K227" i="3"/>
  <c r="L227" i="3"/>
  <c r="M227" i="3" s="1"/>
  <c r="I228" i="3"/>
  <c r="J228" i="3"/>
  <c r="L228" i="3" s="1"/>
  <c r="K228" i="3"/>
  <c r="M228" i="3" s="1"/>
  <c r="I229" i="3"/>
  <c r="J229" i="3"/>
  <c r="L229" i="3" s="1"/>
  <c r="K229" i="3"/>
  <c r="I230" i="3"/>
  <c r="J230" i="3"/>
  <c r="L230" i="3" s="1"/>
  <c r="K230" i="3"/>
  <c r="M230" i="3"/>
  <c r="I231" i="3"/>
  <c r="J231" i="3"/>
  <c r="L231" i="3" s="1"/>
  <c r="K231" i="3"/>
  <c r="M231" i="3" s="1"/>
  <c r="I232" i="3"/>
  <c r="J232" i="3"/>
  <c r="K232" i="3"/>
  <c r="L232" i="3"/>
  <c r="M232" i="3"/>
  <c r="I233" i="3"/>
  <c r="J233" i="3"/>
  <c r="L233" i="3" s="1"/>
  <c r="K233" i="3"/>
  <c r="I234" i="3"/>
  <c r="J234" i="3"/>
  <c r="K234" i="3"/>
  <c r="L234" i="3"/>
  <c r="M234" i="3"/>
  <c r="I235" i="3"/>
  <c r="J235" i="3"/>
  <c r="K235" i="3"/>
  <c r="L235" i="3"/>
  <c r="M235" i="3"/>
  <c r="I236" i="3"/>
  <c r="J236" i="3"/>
  <c r="L236" i="3" s="1"/>
  <c r="K236" i="3"/>
  <c r="M236" i="3" s="1"/>
  <c r="I237" i="3"/>
  <c r="J237" i="3"/>
  <c r="L237" i="3" s="1"/>
  <c r="M237" i="3" s="1"/>
  <c r="K237" i="3"/>
  <c r="I238" i="3"/>
  <c r="J238" i="3"/>
  <c r="L238" i="3" s="1"/>
  <c r="M238" i="3" s="1"/>
  <c r="K238" i="3"/>
  <c r="I239" i="3"/>
  <c r="J239" i="3"/>
  <c r="K239" i="3"/>
  <c r="L239" i="3"/>
  <c r="I240" i="3"/>
  <c r="J240" i="3"/>
  <c r="K240" i="3"/>
  <c r="L240" i="3"/>
  <c r="M240" i="3"/>
  <c r="I241" i="3"/>
  <c r="J241" i="3"/>
  <c r="L241" i="3" s="1"/>
  <c r="K241" i="3"/>
  <c r="M241" i="3" s="1"/>
  <c r="I242" i="3"/>
  <c r="J242" i="3"/>
  <c r="L242" i="3" s="1"/>
  <c r="M242" i="3" s="1"/>
  <c r="K242" i="3"/>
  <c r="I243" i="3"/>
  <c r="J243" i="3"/>
  <c r="K243" i="3"/>
  <c r="L243" i="3"/>
  <c r="M243" i="3"/>
  <c r="I244" i="3"/>
  <c r="J244" i="3"/>
  <c r="L244" i="3" s="1"/>
  <c r="K244" i="3"/>
  <c r="M244" i="3" s="1"/>
  <c r="I245" i="3"/>
  <c r="J245" i="3"/>
  <c r="K245" i="3"/>
  <c r="L245" i="3"/>
  <c r="M245" i="3"/>
  <c r="I246" i="3"/>
  <c r="J246" i="3"/>
  <c r="L246" i="3" s="1"/>
  <c r="M246" i="3" s="1"/>
  <c r="K246" i="3"/>
  <c r="I247" i="3"/>
  <c r="J247" i="3"/>
  <c r="L247" i="3" s="1"/>
  <c r="M247" i="3" s="1"/>
  <c r="K247" i="3"/>
  <c r="I248" i="3"/>
  <c r="J248" i="3"/>
  <c r="K248" i="3"/>
  <c r="L248" i="3"/>
  <c r="M248" i="3"/>
  <c r="I249" i="3"/>
  <c r="J249" i="3"/>
  <c r="L249" i="3" s="1"/>
  <c r="K249" i="3"/>
  <c r="I250" i="3"/>
  <c r="J250" i="3"/>
  <c r="K250" i="3"/>
  <c r="L250" i="3"/>
  <c r="M250" i="3" s="1"/>
  <c r="I251" i="3"/>
  <c r="J251" i="3"/>
  <c r="L251" i="3" s="1"/>
  <c r="M251" i="3" s="1"/>
  <c r="K251" i="3"/>
  <c r="I252" i="3"/>
  <c r="J252" i="3"/>
  <c r="K252" i="3"/>
  <c r="M252" i="3" s="1"/>
  <c r="L252" i="3"/>
  <c r="I253" i="3"/>
  <c r="J253" i="3"/>
  <c r="K253" i="3"/>
  <c r="L253" i="3"/>
  <c r="M253" i="3"/>
  <c r="I254" i="3"/>
  <c r="J254" i="3"/>
  <c r="L254" i="3" s="1"/>
  <c r="K254" i="3"/>
  <c r="M254" i="3" s="1"/>
  <c r="I255" i="3"/>
  <c r="J255" i="3"/>
  <c r="K255" i="3"/>
  <c r="L255" i="3"/>
  <c r="M255" i="3"/>
  <c r="I256" i="3"/>
  <c r="J256" i="3"/>
  <c r="K256" i="3"/>
  <c r="M256" i="3" s="1"/>
  <c r="L256" i="3"/>
  <c r="I257" i="3"/>
  <c r="J257" i="3"/>
  <c r="K257" i="3"/>
  <c r="L257" i="3"/>
  <c r="I258" i="3"/>
  <c r="J258" i="3"/>
  <c r="L258" i="3" s="1"/>
  <c r="K258" i="3"/>
  <c r="M258" i="3"/>
  <c r="I259" i="3"/>
  <c r="J259" i="3"/>
  <c r="K259" i="3"/>
  <c r="L259" i="3"/>
  <c r="M259" i="3"/>
  <c r="I260" i="3"/>
  <c r="J260" i="3"/>
  <c r="K260" i="3"/>
  <c r="M260" i="3" s="1"/>
  <c r="L260" i="3"/>
  <c r="I261" i="3"/>
  <c r="J261" i="3"/>
  <c r="L261" i="3" s="1"/>
  <c r="K261" i="3"/>
  <c r="M261" i="3" s="1"/>
  <c r="I262" i="3"/>
  <c r="J262" i="3"/>
  <c r="L262" i="3" s="1"/>
  <c r="K262" i="3"/>
  <c r="M262" i="3" s="1"/>
  <c r="I263" i="3"/>
  <c r="J263" i="3"/>
  <c r="L263" i="3" s="1"/>
  <c r="K263" i="3"/>
  <c r="M263" i="3"/>
  <c r="I264" i="3"/>
  <c r="J264" i="3"/>
  <c r="K264" i="3"/>
  <c r="M264" i="3" s="1"/>
  <c r="L264" i="3"/>
  <c r="I265" i="3"/>
  <c r="J265" i="3"/>
  <c r="K265" i="3"/>
  <c r="M265" i="3" s="1"/>
  <c r="L265" i="3"/>
  <c r="I266" i="3"/>
  <c r="J266" i="3"/>
  <c r="L266" i="3" s="1"/>
  <c r="K266" i="3"/>
  <c r="I267" i="3"/>
  <c r="J267" i="3"/>
  <c r="L267" i="3" s="1"/>
  <c r="M267" i="3" s="1"/>
  <c r="K267" i="3"/>
  <c r="I268" i="3"/>
  <c r="J268" i="3"/>
  <c r="L268" i="3" s="1"/>
  <c r="K268" i="3"/>
  <c r="M268" i="3"/>
  <c r="I269" i="3"/>
  <c r="J269" i="3"/>
  <c r="L269" i="3" s="1"/>
  <c r="M269" i="3" s="1"/>
  <c r="K269" i="3"/>
  <c r="I270" i="3"/>
  <c r="J270" i="3"/>
  <c r="L270" i="3" s="1"/>
  <c r="K270" i="3"/>
  <c r="M270" i="3"/>
  <c r="I271" i="3"/>
  <c r="J271" i="3"/>
  <c r="K271" i="3"/>
  <c r="L271" i="3"/>
  <c r="I272" i="3"/>
  <c r="J272" i="3"/>
  <c r="K272" i="3"/>
  <c r="L272" i="3"/>
  <c r="M272" i="3"/>
  <c r="I273" i="3"/>
  <c r="J273" i="3"/>
  <c r="L273" i="3" s="1"/>
  <c r="K273" i="3"/>
  <c r="I274" i="3"/>
  <c r="J274" i="3"/>
  <c r="K274" i="3"/>
  <c r="L274" i="3"/>
  <c r="M274" i="3"/>
  <c r="I275" i="3"/>
  <c r="J275" i="3"/>
  <c r="K275" i="3"/>
  <c r="L275" i="3"/>
  <c r="M275" i="3" s="1"/>
  <c r="I276" i="3"/>
  <c r="J276" i="3"/>
  <c r="L276" i="3" s="1"/>
  <c r="K276" i="3"/>
  <c r="I277" i="3"/>
  <c r="J277" i="3"/>
  <c r="L277" i="3" s="1"/>
  <c r="M277" i="3" s="1"/>
  <c r="K277" i="3"/>
  <c r="I278" i="3"/>
  <c r="J278" i="3"/>
  <c r="L278" i="3" s="1"/>
  <c r="M278" i="3" s="1"/>
  <c r="K278" i="3"/>
  <c r="I279" i="3"/>
  <c r="J279" i="3"/>
  <c r="L279" i="3" s="1"/>
  <c r="M279" i="3" s="1"/>
  <c r="K279" i="3"/>
  <c r="I280" i="3"/>
  <c r="J280" i="3"/>
  <c r="K280" i="3"/>
  <c r="L280" i="3"/>
  <c r="M280" i="3"/>
  <c r="I281" i="3"/>
  <c r="J281" i="3"/>
  <c r="K281" i="3"/>
  <c r="L281" i="3"/>
  <c r="I282" i="3"/>
  <c r="J282" i="3"/>
  <c r="K282" i="3"/>
  <c r="M282" i="3" s="1"/>
  <c r="L282" i="3"/>
  <c r="I283" i="3"/>
  <c r="J283" i="3"/>
  <c r="L283" i="3" s="1"/>
  <c r="K283" i="3"/>
  <c r="M283" i="3"/>
  <c r="I284" i="3"/>
  <c r="J284" i="3"/>
  <c r="L284" i="3" s="1"/>
  <c r="K284" i="3"/>
  <c r="M284" i="3" s="1"/>
  <c r="I285" i="3"/>
  <c r="J285" i="3"/>
  <c r="K285" i="3"/>
  <c r="M285" i="3" s="1"/>
  <c r="L285" i="3"/>
  <c r="I286" i="3"/>
  <c r="J286" i="3"/>
  <c r="L286" i="3" s="1"/>
  <c r="K286" i="3"/>
  <c r="M286" i="3"/>
  <c r="I287" i="3"/>
  <c r="J287" i="3"/>
  <c r="L287" i="3" s="1"/>
  <c r="M287" i="3" s="1"/>
  <c r="K287" i="3"/>
  <c r="I288" i="3"/>
  <c r="J288" i="3"/>
  <c r="K288" i="3"/>
  <c r="L288" i="3"/>
  <c r="M288" i="3"/>
  <c r="I289" i="3"/>
  <c r="J289" i="3"/>
  <c r="L289" i="3" s="1"/>
  <c r="K289" i="3"/>
  <c r="I290" i="3"/>
  <c r="J290" i="3"/>
  <c r="K290" i="3"/>
  <c r="L290" i="3"/>
  <c r="M290" i="3" s="1"/>
  <c r="I291" i="3"/>
  <c r="J291" i="3"/>
  <c r="L291" i="3" s="1"/>
  <c r="M291" i="3" s="1"/>
  <c r="K291" i="3"/>
  <c r="I292" i="3"/>
  <c r="J292" i="3"/>
  <c r="L292" i="3" s="1"/>
  <c r="M292" i="3" s="1"/>
  <c r="K292" i="3"/>
  <c r="I293" i="3"/>
  <c r="J293" i="3"/>
  <c r="L293" i="3" s="1"/>
  <c r="K293" i="3"/>
  <c r="M293" i="3"/>
  <c r="I294" i="3"/>
  <c r="J294" i="3"/>
  <c r="L294" i="3" s="1"/>
  <c r="K294" i="3"/>
  <c r="M294" i="3"/>
  <c r="I295" i="3"/>
  <c r="J295" i="3"/>
  <c r="K295" i="3"/>
  <c r="L295" i="3"/>
  <c r="M295" i="3"/>
  <c r="I296" i="3"/>
  <c r="J296" i="3"/>
  <c r="K296" i="3"/>
  <c r="M296" i="3" s="1"/>
  <c r="L296" i="3"/>
  <c r="I297" i="3"/>
  <c r="J297" i="3"/>
  <c r="L297" i="3" s="1"/>
  <c r="K297" i="3"/>
  <c r="I298" i="3"/>
  <c r="J298" i="3"/>
  <c r="L298" i="3" s="1"/>
  <c r="K298" i="3"/>
  <c r="I299" i="3"/>
  <c r="J299" i="3"/>
  <c r="L299" i="3" s="1"/>
  <c r="M299" i="3" s="1"/>
  <c r="K299" i="3"/>
  <c r="I300" i="3"/>
  <c r="J300" i="3"/>
  <c r="L300" i="3" s="1"/>
  <c r="M300" i="3" s="1"/>
  <c r="K300" i="3"/>
  <c r="I301" i="3"/>
  <c r="J301" i="3"/>
  <c r="K301" i="3"/>
  <c r="M301" i="3" s="1"/>
  <c r="L301" i="3"/>
  <c r="I302" i="3"/>
  <c r="J302" i="3"/>
  <c r="L302" i="3" s="1"/>
  <c r="K302" i="3"/>
  <c r="M302" i="3" s="1"/>
  <c r="I303" i="3"/>
  <c r="J303" i="3"/>
  <c r="L303" i="3" s="1"/>
  <c r="K303" i="3"/>
  <c r="I304" i="3"/>
  <c r="J304" i="3"/>
  <c r="K304" i="3"/>
  <c r="M304" i="3" s="1"/>
  <c r="L304" i="3"/>
  <c r="I305" i="3"/>
  <c r="J305" i="3"/>
  <c r="L305" i="3" s="1"/>
  <c r="K305" i="3"/>
  <c r="I306" i="3"/>
  <c r="J306" i="3"/>
  <c r="L306" i="3" s="1"/>
  <c r="K306" i="3"/>
  <c r="I307" i="3"/>
  <c r="J307" i="3"/>
  <c r="K307" i="3"/>
  <c r="L307" i="3"/>
  <c r="M307" i="3"/>
  <c r="I308" i="3"/>
  <c r="J308" i="3"/>
  <c r="K308" i="3"/>
  <c r="L308" i="3"/>
  <c r="I309" i="3"/>
  <c r="J309" i="3"/>
  <c r="K309" i="3"/>
  <c r="L309" i="3"/>
  <c r="M309" i="3" s="1"/>
  <c r="I310" i="3"/>
  <c r="J310" i="3"/>
  <c r="L310" i="3" s="1"/>
  <c r="M310" i="3" s="1"/>
  <c r="K310" i="3"/>
  <c r="I311" i="3"/>
  <c r="J311" i="3"/>
  <c r="K311" i="3"/>
  <c r="M311" i="3" s="1"/>
  <c r="L311" i="3"/>
  <c r="I312" i="3"/>
  <c r="J312" i="3"/>
  <c r="K312" i="3"/>
  <c r="L312" i="3"/>
  <c r="M312" i="3"/>
  <c r="I313" i="3"/>
  <c r="J313" i="3"/>
  <c r="L313" i="3" s="1"/>
  <c r="K313" i="3"/>
  <c r="I314" i="3"/>
  <c r="J314" i="3"/>
  <c r="K314" i="3"/>
  <c r="L314" i="3"/>
  <c r="M314" i="3"/>
  <c r="I315" i="3"/>
  <c r="J315" i="3"/>
  <c r="L315" i="3" s="1"/>
  <c r="K315" i="3"/>
  <c r="M315" i="3"/>
  <c r="I316" i="3"/>
  <c r="J316" i="3"/>
  <c r="K316" i="3"/>
  <c r="L316" i="3"/>
  <c r="M316" i="3" s="1"/>
  <c r="I317" i="3"/>
  <c r="J317" i="3"/>
  <c r="K317" i="3"/>
  <c r="M317" i="3" s="1"/>
  <c r="L317" i="3"/>
  <c r="I318" i="3"/>
  <c r="J318" i="3"/>
  <c r="L318" i="3" s="1"/>
  <c r="K318" i="3"/>
  <c r="M318" i="3" s="1"/>
  <c r="I319" i="3"/>
  <c r="J319" i="3"/>
  <c r="L319" i="3" s="1"/>
  <c r="M319" i="3" s="1"/>
  <c r="K319" i="3"/>
  <c r="I320" i="3"/>
  <c r="J320" i="3"/>
  <c r="K320" i="3"/>
  <c r="L320" i="3"/>
  <c r="M320" i="3"/>
  <c r="I321" i="3"/>
  <c r="J321" i="3"/>
  <c r="K321" i="3"/>
  <c r="L321" i="3"/>
  <c r="I322" i="3"/>
  <c r="J322" i="3"/>
  <c r="K322" i="3"/>
  <c r="L322" i="3"/>
  <c r="M322" i="3" s="1"/>
  <c r="I323" i="3"/>
  <c r="J323" i="3"/>
  <c r="K323" i="3"/>
  <c r="L323" i="3"/>
  <c r="M323" i="3" s="1"/>
  <c r="I324" i="3"/>
  <c r="J324" i="3"/>
  <c r="L324" i="3" s="1"/>
  <c r="K324" i="3"/>
  <c r="M324" i="3" s="1"/>
  <c r="I325" i="3"/>
  <c r="J325" i="3"/>
  <c r="L325" i="3" s="1"/>
  <c r="K325" i="3"/>
  <c r="M325" i="3" s="1"/>
  <c r="I326" i="3"/>
  <c r="J326" i="3"/>
  <c r="L326" i="3" s="1"/>
  <c r="M326" i="3" s="1"/>
  <c r="K326" i="3"/>
  <c r="I327" i="3"/>
  <c r="J327" i="3"/>
  <c r="L327" i="3" s="1"/>
  <c r="M327" i="3" s="1"/>
  <c r="K327" i="3"/>
  <c r="I328" i="3"/>
  <c r="J328" i="3"/>
  <c r="K328" i="3"/>
  <c r="L328" i="3"/>
  <c r="M328" i="3" s="1"/>
  <c r="I329" i="3"/>
  <c r="J329" i="3"/>
  <c r="L329" i="3" s="1"/>
  <c r="K329" i="3"/>
  <c r="I330" i="3"/>
  <c r="J330" i="3"/>
  <c r="K330" i="3"/>
  <c r="M330" i="3" s="1"/>
  <c r="L330" i="3"/>
  <c r="I331" i="3"/>
  <c r="J331" i="3"/>
  <c r="L331" i="3" s="1"/>
  <c r="M331" i="3" s="1"/>
  <c r="K331" i="3"/>
  <c r="I332" i="3"/>
  <c r="J332" i="3"/>
  <c r="L332" i="3" s="1"/>
  <c r="M332" i="3" s="1"/>
  <c r="K332" i="3"/>
  <c r="I333" i="3"/>
  <c r="J333" i="3"/>
  <c r="K333" i="3"/>
  <c r="L333" i="3"/>
  <c r="M333" i="3" s="1"/>
  <c r="I334" i="3"/>
  <c r="J334" i="3"/>
  <c r="L334" i="3" s="1"/>
  <c r="K334" i="3"/>
  <c r="M334" i="3" s="1"/>
  <c r="I335" i="3"/>
  <c r="J335" i="3"/>
  <c r="K335" i="3"/>
  <c r="M335" i="3" s="1"/>
  <c r="L335" i="3"/>
  <c r="I336" i="3"/>
  <c r="J336" i="3"/>
  <c r="K336" i="3"/>
  <c r="L336" i="3"/>
  <c r="M336" i="3"/>
  <c r="I337" i="3"/>
  <c r="J337" i="3"/>
  <c r="L337" i="3" s="1"/>
  <c r="K337" i="3"/>
  <c r="I338" i="3"/>
  <c r="J338" i="3"/>
  <c r="K338" i="3"/>
  <c r="L338" i="3"/>
  <c r="M338" i="3"/>
  <c r="I339" i="3"/>
  <c r="J339" i="3"/>
  <c r="K339" i="3"/>
  <c r="L339" i="3"/>
  <c r="M339" i="3" s="1"/>
  <c r="I340" i="3"/>
  <c r="J340" i="3"/>
  <c r="K340" i="3"/>
  <c r="M340" i="3" s="1"/>
  <c r="L340" i="3"/>
  <c r="I341" i="3"/>
  <c r="J341" i="3"/>
  <c r="L341" i="3" s="1"/>
  <c r="M341" i="3" s="1"/>
  <c r="K341" i="3"/>
  <c r="I342" i="3"/>
  <c r="J342" i="3"/>
  <c r="L342" i="3" s="1"/>
  <c r="K342" i="3"/>
  <c r="M342" i="3" s="1"/>
  <c r="I343" i="3"/>
  <c r="J343" i="3"/>
  <c r="K343" i="3"/>
  <c r="L343" i="3"/>
  <c r="M343" i="3"/>
  <c r="I344" i="3"/>
  <c r="J344" i="3"/>
  <c r="K344" i="3"/>
  <c r="M344" i="3" s="1"/>
  <c r="L344" i="3"/>
  <c r="I345" i="3"/>
  <c r="J345" i="3"/>
  <c r="K345" i="3"/>
  <c r="M345" i="3" s="1"/>
  <c r="L345" i="3"/>
  <c r="I346" i="3"/>
  <c r="J346" i="3"/>
  <c r="L346" i="3" s="1"/>
  <c r="K346" i="3"/>
  <c r="M346" i="3" s="1"/>
  <c r="I347" i="3"/>
  <c r="J347" i="3"/>
  <c r="L347" i="3" s="1"/>
  <c r="M347" i="3" s="1"/>
  <c r="K347" i="3"/>
  <c r="I348" i="3"/>
  <c r="J348" i="3"/>
  <c r="K348" i="3"/>
  <c r="L348" i="3"/>
  <c r="M348" i="3" s="1"/>
  <c r="I349" i="3"/>
  <c r="J349" i="3"/>
  <c r="L349" i="3" s="1"/>
  <c r="K349" i="3"/>
  <c r="M349" i="3" s="1"/>
  <c r="I350" i="3"/>
  <c r="J350" i="3"/>
  <c r="L350" i="3" s="1"/>
  <c r="K350" i="3"/>
  <c r="I351" i="3"/>
  <c r="J351" i="3"/>
  <c r="L351" i="3" s="1"/>
  <c r="M351" i="3" s="1"/>
  <c r="K351" i="3"/>
  <c r="I352" i="3"/>
  <c r="J352" i="3"/>
  <c r="K352" i="3"/>
  <c r="M352" i="3" s="1"/>
  <c r="L352" i="3"/>
  <c r="I353" i="3"/>
  <c r="J353" i="3"/>
  <c r="K353" i="3"/>
  <c r="M353" i="3" s="1"/>
  <c r="L353" i="3"/>
  <c r="I354" i="3"/>
  <c r="J354" i="3"/>
  <c r="L354" i="3" s="1"/>
  <c r="M354" i="3" s="1"/>
  <c r="K354" i="3"/>
  <c r="I355" i="3"/>
  <c r="J355" i="3"/>
  <c r="L355" i="3" s="1"/>
  <c r="M355" i="3" s="1"/>
  <c r="K355" i="3"/>
  <c r="I356" i="3"/>
  <c r="J356" i="3"/>
  <c r="K356" i="3"/>
  <c r="L356" i="3"/>
  <c r="M356" i="3" s="1"/>
  <c r="I357" i="3"/>
  <c r="J357" i="3"/>
  <c r="L357" i="3" s="1"/>
  <c r="K357" i="3"/>
  <c r="I358" i="3"/>
  <c r="J358" i="3"/>
  <c r="L358" i="3" s="1"/>
  <c r="K358" i="3"/>
  <c r="M358" i="3" s="1"/>
  <c r="I359" i="3"/>
  <c r="J359" i="3"/>
  <c r="L359" i="3" s="1"/>
  <c r="M359" i="3" s="1"/>
  <c r="K359" i="3"/>
  <c r="I360" i="3"/>
  <c r="J360" i="3"/>
  <c r="K360" i="3"/>
  <c r="M360" i="3" s="1"/>
  <c r="L360" i="3"/>
  <c r="I361" i="3"/>
  <c r="J361" i="3"/>
  <c r="K361" i="3"/>
  <c r="M361" i="3" s="1"/>
  <c r="L361" i="3"/>
  <c r="I362" i="3"/>
  <c r="J362" i="3"/>
  <c r="L362" i="3" s="1"/>
  <c r="K362" i="3"/>
  <c r="I363" i="3"/>
  <c r="J363" i="3"/>
  <c r="L363" i="3" s="1"/>
  <c r="M363" i="3" s="1"/>
  <c r="K363" i="3"/>
  <c r="I364" i="3"/>
  <c r="J364" i="3"/>
  <c r="K364" i="3"/>
  <c r="L364" i="3"/>
  <c r="M364" i="3" s="1"/>
  <c r="I365" i="3"/>
  <c r="J365" i="3"/>
  <c r="L365" i="3" s="1"/>
  <c r="K365" i="3"/>
  <c r="M365" i="3" s="1"/>
  <c r="I366" i="3"/>
  <c r="J366" i="3"/>
  <c r="L366" i="3" s="1"/>
  <c r="K366" i="3"/>
  <c r="M366" i="3" s="1"/>
  <c r="I367" i="3"/>
  <c r="J367" i="3"/>
  <c r="L367" i="3" s="1"/>
  <c r="M367" i="3" s="1"/>
  <c r="K367" i="3"/>
  <c r="I368" i="3"/>
  <c r="J368" i="3"/>
  <c r="K368" i="3"/>
  <c r="M368" i="3" s="1"/>
  <c r="L368" i="3"/>
  <c r="I369" i="3"/>
  <c r="J369" i="3"/>
  <c r="K369" i="3"/>
  <c r="M369" i="3" s="1"/>
  <c r="L369" i="3"/>
  <c r="I370" i="3"/>
  <c r="J370" i="3"/>
  <c r="L370" i="3" s="1"/>
  <c r="K370" i="3"/>
  <c r="I371" i="3"/>
  <c r="J371" i="3"/>
  <c r="L371" i="3" s="1"/>
  <c r="M371" i="3" s="1"/>
  <c r="K371" i="3"/>
  <c r="I372" i="3"/>
  <c r="J372" i="3"/>
  <c r="K372" i="3"/>
  <c r="L372" i="3"/>
  <c r="M372" i="3" s="1"/>
  <c r="I373" i="3"/>
  <c r="J373" i="3"/>
  <c r="L373" i="3" s="1"/>
  <c r="K373" i="3"/>
  <c r="M373" i="3" s="1"/>
  <c r="I374" i="3"/>
  <c r="J374" i="3"/>
  <c r="L374" i="3" s="1"/>
  <c r="K374" i="3"/>
  <c r="I375" i="3"/>
  <c r="J375" i="3"/>
  <c r="K375" i="3"/>
  <c r="L375" i="3"/>
  <c r="M375" i="3"/>
  <c r="I376" i="3"/>
  <c r="J376" i="3"/>
  <c r="K376" i="3"/>
  <c r="M376" i="3" s="1"/>
  <c r="L376" i="3"/>
  <c r="I377" i="3"/>
  <c r="J377" i="3"/>
  <c r="K377" i="3"/>
  <c r="M377" i="3" s="1"/>
  <c r="L377" i="3"/>
  <c r="I378" i="3"/>
  <c r="J378" i="3"/>
  <c r="L378" i="3" s="1"/>
  <c r="M378" i="3" s="1"/>
  <c r="K378" i="3"/>
  <c r="I379" i="3"/>
  <c r="J379" i="3"/>
  <c r="L379" i="3" s="1"/>
  <c r="M379" i="3" s="1"/>
  <c r="K379" i="3"/>
  <c r="I380" i="3"/>
  <c r="J380" i="3"/>
  <c r="K380" i="3"/>
  <c r="L380" i="3"/>
  <c r="M380" i="3" s="1"/>
  <c r="I381" i="3"/>
  <c r="J381" i="3"/>
  <c r="L381" i="3" s="1"/>
  <c r="K381" i="3"/>
  <c r="M381" i="3" s="1"/>
  <c r="I382" i="3"/>
  <c r="J382" i="3"/>
  <c r="L382" i="3" s="1"/>
  <c r="K382" i="3"/>
  <c r="M382" i="3" s="1"/>
  <c r="I383" i="3"/>
  <c r="J383" i="3"/>
  <c r="K383" i="3"/>
  <c r="L383" i="3"/>
  <c r="M383" i="3"/>
  <c r="I384" i="3"/>
  <c r="J384" i="3"/>
  <c r="K384" i="3"/>
  <c r="M384" i="3" s="1"/>
  <c r="L384" i="3"/>
  <c r="I385" i="3"/>
  <c r="J385" i="3"/>
  <c r="K385" i="3"/>
  <c r="M385" i="3" s="1"/>
  <c r="L385" i="3"/>
  <c r="I386" i="3"/>
  <c r="J386" i="3"/>
  <c r="L386" i="3" s="1"/>
  <c r="K386" i="3"/>
  <c r="M386" i="3" s="1"/>
  <c r="I387" i="3"/>
  <c r="J387" i="3"/>
  <c r="L387" i="3" s="1"/>
  <c r="M387" i="3" s="1"/>
  <c r="K387" i="3"/>
  <c r="I388" i="3"/>
  <c r="J388" i="3"/>
  <c r="K388" i="3"/>
  <c r="L388" i="3"/>
  <c r="M388" i="3" s="1"/>
  <c r="I389" i="3"/>
  <c r="J389" i="3"/>
  <c r="L389" i="3" s="1"/>
  <c r="K389" i="3"/>
  <c r="I390" i="3"/>
  <c r="J390" i="3"/>
  <c r="L390" i="3" s="1"/>
  <c r="K390" i="3"/>
  <c r="M390" i="3" s="1"/>
  <c r="I391" i="3"/>
  <c r="J391" i="3"/>
  <c r="K391" i="3"/>
  <c r="L391" i="3"/>
  <c r="M391" i="3"/>
  <c r="I392" i="3"/>
  <c r="J392" i="3"/>
  <c r="K392" i="3"/>
  <c r="M392" i="3" s="1"/>
  <c r="L392" i="3"/>
  <c r="I393" i="3"/>
  <c r="J393" i="3"/>
  <c r="K393" i="3"/>
  <c r="M393" i="3" s="1"/>
  <c r="L393" i="3"/>
  <c r="I394" i="3"/>
  <c r="J394" i="3"/>
  <c r="L394" i="3" s="1"/>
  <c r="M394" i="3" s="1"/>
  <c r="K394" i="3"/>
  <c r="I395" i="3"/>
  <c r="J395" i="3"/>
  <c r="L395" i="3" s="1"/>
  <c r="M395" i="3" s="1"/>
  <c r="K395" i="3"/>
  <c r="I396" i="3"/>
  <c r="J396" i="3"/>
  <c r="K396" i="3"/>
  <c r="L396" i="3"/>
  <c r="M396" i="3" s="1"/>
  <c r="I397" i="3"/>
  <c r="J397" i="3"/>
  <c r="L397" i="3" s="1"/>
  <c r="K397" i="3"/>
  <c r="M397" i="3" s="1"/>
  <c r="I398" i="3"/>
  <c r="J398" i="3"/>
  <c r="L398" i="3" s="1"/>
  <c r="K398" i="3"/>
  <c r="I399" i="3"/>
  <c r="J399" i="3"/>
  <c r="L399" i="3" s="1"/>
  <c r="M399" i="3" s="1"/>
  <c r="K399" i="3"/>
  <c r="I400" i="3"/>
  <c r="J400" i="3"/>
  <c r="K400" i="3"/>
  <c r="M400" i="3" s="1"/>
  <c r="L400" i="3"/>
  <c r="I401" i="3"/>
  <c r="J401" i="3"/>
  <c r="K401" i="3"/>
  <c r="M401" i="3" s="1"/>
  <c r="L401" i="3"/>
  <c r="I402" i="3"/>
  <c r="J402" i="3"/>
  <c r="L402" i="3" s="1"/>
  <c r="M402" i="3" s="1"/>
  <c r="K402" i="3"/>
  <c r="I403" i="3"/>
  <c r="J403" i="3"/>
  <c r="L403" i="3" s="1"/>
  <c r="M403" i="3" s="1"/>
  <c r="K403" i="3"/>
  <c r="I404" i="3"/>
  <c r="J404" i="3"/>
  <c r="K404" i="3"/>
  <c r="L404" i="3"/>
  <c r="M404" i="3" s="1"/>
  <c r="I405" i="3"/>
  <c r="J405" i="3"/>
  <c r="L405" i="3" s="1"/>
  <c r="K405" i="3"/>
  <c r="I406" i="3"/>
  <c r="J406" i="3"/>
  <c r="L406" i="3" s="1"/>
  <c r="K406" i="3"/>
  <c r="M406" i="3" s="1"/>
  <c r="I407" i="3"/>
  <c r="J407" i="3"/>
  <c r="L407" i="3" s="1"/>
  <c r="M407" i="3" s="1"/>
  <c r="K407" i="3"/>
  <c r="I408" i="3"/>
  <c r="J408" i="3"/>
  <c r="K408" i="3"/>
  <c r="M408" i="3" s="1"/>
  <c r="L408" i="3"/>
  <c r="I409" i="3"/>
  <c r="J409" i="3"/>
  <c r="K409" i="3"/>
  <c r="M409" i="3" s="1"/>
  <c r="L409" i="3"/>
  <c r="I410" i="3"/>
  <c r="J410" i="3"/>
  <c r="L410" i="3" s="1"/>
  <c r="K410" i="3"/>
  <c r="I411" i="3"/>
  <c r="J411" i="3"/>
  <c r="L411" i="3" s="1"/>
  <c r="M411" i="3" s="1"/>
  <c r="K411" i="3"/>
  <c r="I412" i="3"/>
  <c r="J412" i="3"/>
  <c r="K412" i="3"/>
  <c r="L412" i="3"/>
  <c r="M412" i="3" s="1"/>
  <c r="I413" i="3"/>
  <c r="J413" i="3"/>
  <c r="L413" i="3" s="1"/>
  <c r="K413" i="3"/>
  <c r="M413" i="3" s="1"/>
  <c r="I414" i="3"/>
  <c r="J414" i="3"/>
  <c r="L414" i="3" s="1"/>
  <c r="K414" i="3"/>
  <c r="M414" i="3" s="1"/>
  <c r="I415" i="3"/>
  <c r="J415" i="3"/>
  <c r="L415" i="3" s="1"/>
  <c r="M415" i="3" s="1"/>
  <c r="K415" i="3"/>
  <c r="I416" i="3"/>
  <c r="J416" i="3"/>
  <c r="K416" i="3"/>
  <c r="M416" i="3" s="1"/>
  <c r="L416" i="3"/>
  <c r="I417" i="3"/>
  <c r="J417" i="3"/>
  <c r="K417" i="3"/>
  <c r="M417" i="3" s="1"/>
  <c r="L417" i="3"/>
  <c r="I418" i="3"/>
  <c r="J418" i="3"/>
  <c r="L418" i="3" s="1"/>
  <c r="K418" i="3"/>
  <c r="I419" i="3"/>
  <c r="J419" i="3"/>
  <c r="L419" i="3" s="1"/>
  <c r="M419" i="3" s="1"/>
  <c r="K419" i="3"/>
  <c r="I420" i="3"/>
  <c r="J420" i="3"/>
  <c r="K420" i="3"/>
  <c r="L420" i="3"/>
  <c r="M420" i="3" s="1"/>
  <c r="I421" i="3"/>
  <c r="J421" i="3"/>
  <c r="L421" i="3" s="1"/>
  <c r="K421" i="3"/>
  <c r="M421" i="3" s="1"/>
  <c r="I422" i="3"/>
  <c r="J422" i="3"/>
  <c r="L422" i="3" s="1"/>
  <c r="K422" i="3"/>
  <c r="I423" i="3"/>
  <c r="J423" i="3"/>
  <c r="L423" i="3" s="1"/>
  <c r="M423" i="3" s="1"/>
  <c r="K423" i="3"/>
  <c r="I424" i="3"/>
  <c r="J424" i="3"/>
  <c r="K424" i="3"/>
  <c r="M424" i="3" s="1"/>
  <c r="L424" i="3"/>
  <c r="I425" i="3"/>
  <c r="J425" i="3"/>
  <c r="K425" i="3"/>
  <c r="M425" i="3" s="1"/>
  <c r="L425" i="3"/>
  <c r="I426" i="3"/>
  <c r="J426" i="3"/>
  <c r="L426" i="3" s="1"/>
  <c r="K426" i="3"/>
  <c r="I427" i="3"/>
  <c r="J427" i="3"/>
  <c r="L427" i="3" s="1"/>
  <c r="M427" i="3" s="1"/>
  <c r="K427" i="3"/>
  <c r="I428" i="3"/>
  <c r="J428" i="3"/>
  <c r="K428" i="3"/>
  <c r="L428" i="3"/>
  <c r="M428" i="3" s="1"/>
  <c r="I429" i="3"/>
  <c r="J429" i="3"/>
  <c r="L429" i="3" s="1"/>
  <c r="K429" i="3"/>
  <c r="I430" i="3"/>
  <c r="J430" i="3"/>
  <c r="L430" i="3" s="1"/>
  <c r="K430" i="3"/>
  <c r="I431" i="3"/>
  <c r="J431" i="3"/>
  <c r="L431" i="3" s="1"/>
  <c r="M431" i="3" s="1"/>
  <c r="K431" i="3"/>
  <c r="I432" i="3"/>
  <c r="J432" i="3"/>
  <c r="K432" i="3"/>
  <c r="M432" i="3" s="1"/>
  <c r="L432" i="3"/>
  <c r="I433" i="3"/>
  <c r="J433" i="3"/>
  <c r="K433" i="3"/>
  <c r="M433" i="3" s="1"/>
  <c r="L433" i="3"/>
  <c r="I434" i="3"/>
  <c r="J434" i="3"/>
  <c r="L434" i="3" s="1"/>
  <c r="K434" i="3"/>
  <c r="M434" i="3" s="1"/>
  <c r="I435" i="3"/>
  <c r="J435" i="3"/>
  <c r="L435" i="3" s="1"/>
  <c r="M435" i="3" s="1"/>
  <c r="K435" i="3"/>
  <c r="I436" i="3"/>
  <c r="J436" i="3"/>
  <c r="K436" i="3"/>
  <c r="L436" i="3"/>
  <c r="M436" i="3" s="1"/>
  <c r="I437" i="3"/>
  <c r="J437" i="3"/>
  <c r="L437" i="3" s="1"/>
  <c r="K437" i="3"/>
  <c r="I438" i="3"/>
  <c r="J438" i="3"/>
  <c r="L438" i="3" s="1"/>
  <c r="K438" i="3"/>
  <c r="I439" i="3"/>
  <c r="J439" i="3"/>
  <c r="L439" i="3" s="1"/>
  <c r="M439" i="3" s="1"/>
  <c r="K439" i="3"/>
  <c r="I440" i="3"/>
  <c r="J440" i="3"/>
  <c r="K440" i="3"/>
  <c r="M440" i="3" s="1"/>
  <c r="L440" i="3"/>
  <c r="I441" i="3"/>
  <c r="J441" i="3"/>
  <c r="K441" i="3"/>
  <c r="M441" i="3" s="1"/>
  <c r="L441" i="3"/>
  <c r="I442" i="3"/>
  <c r="J442" i="3"/>
  <c r="L442" i="3" s="1"/>
  <c r="K442" i="3"/>
  <c r="M442" i="3" s="1"/>
  <c r="I443" i="3"/>
  <c r="J443" i="3"/>
  <c r="L443" i="3" s="1"/>
  <c r="M443" i="3" s="1"/>
  <c r="K443" i="3"/>
  <c r="I444" i="3"/>
  <c r="J444" i="3"/>
  <c r="K444" i="3"/>
  <c r="L444" i="3"/>
  <c r="M444" i="3" s="1"/>
  <c r="I445" i="3"/>
  <c r="J445" i="3"/>
  <c r="L445" i="3" s="1"/>
  <c r="K445" i="3"/>
  <c r="I446" i="3"/>
  <c r="J446" i="3"/>
  <c r="L446" i="3" s="1"/>
  <c r="K446" i="3"/>
  <c r="M446" i="3" s="1"/>
  <c r="I447" i="3"/>
  <c r="J447" i="3"/>
  <c r="L447" i="3" s="1"/>
  <c r="M447" i="3" s="1"/>
  <c r="K447" i="3"/>
  <c r="I448" i="3"/>
  <c r="J448" i="3"/>
  <c r="K448" i="3"/>
  <c r="M448" i="3" s="1"/>
  <c r="L448" i="3"/>
  <c r="I449" i="3"/>
  <c r="J449" i="3"/>
  <c r="K449" i="3"/>
  <c r="M449" i="3" s="1"/>
  <c r="L449" i="3"/>
  <c r="I450" i="3"/>
  <c r="J450" i="3"/>
  <c r="L450" i="3" s="1"/>
  <c r="K450" i="3"/>
  <c r="I451" i="3"/>
  <c r="J451" i="3"/>
  <c r="L451" i="3" s="1"/>
  <c r="M451" i="3" s="1"/>
  <c r="K451" i="3"/>
  <c r="I452" i="3"/>
  <c r="J452" i="3"/>
  <c r="K452" i="3"/>
  <c r="L452" i="3"/>
  <c r="M452" i="3" s="1"/>
  <c r="I453" i="3"/>
  <c r="J453" i="3"/>
  <c r="L453" i="3" s="1"/>
  <c r="K453" i="3"/>
  <c r="M453" i="3" s="1"/>
  <c r="I454" i="3"/>
  <c r="J454" i="3"/>
  <c r="L454" i="3" s="1"/>
  <c r="K454" i="3"/>
  <c r="M454" i="3" s="1"/>
  <c r="I455" i="3"/>
  <c r="J455" i="3"/>
  <c r="K455" i="3"/>
  <c r="L455" i="3"/>
  <c r="M455" i="3"/>
  <c r="I456" i="3"/>
  <c r="J456" i="3"/>
  <c r="K456" i="3"/>
  <c r="M456" i="3" s="1"/>
  <c r="L456" i="3"/>
  <c r="I457" i="3"/>
  <c r="J457" i="3"/>
  <c r="K457" i="3"/>
  <c r="M457" i="3" s="1"/>
  <c r="L457" i="3"/>
  <c r="I458" i="3"/>
  <c r="J458" i="3"/>
  <c r="L458" i="3" s="1"/>
  <c r="M458" i="3" s="1"/>
  <c r="K458" i="3"/>
  <c r="I459" i="3"/>
  <c r="J459" i="3"/>
  <c r="L459" i="3" s="1"/>
  <c r="M459" i="3" s="1"/>
  <c r="K459" i="3"/>
  <c r="I460" i="3"/>
  <c r="J460" i="3"/>
  <c r="K460" i="3"/>
  <c r="L460" i="3"/>
  <c r="M460" i="3" s="1"/>
  <c r="I461" i="3"/>
  <c r="J461" i="3"/>
  <c r="L461" i="3" s="1"/>
  <c r="K461" i="3"/>
  <c r="I462" i="3"/>
  <c r="J462" i="3"/>
  <c r="L462" i="3" s="1"/>
  <c r="K462" i="3"/>
  <c r="M462" i="3" s="1"/>
  <c r="I463" i="3"/>
  <c r="J463" i="3"/>
  <c r="L463" i="3" s="1"/>
  <c r="M463" i="3" s="1"/>
  <c r="K463" i="3"/>
  <c r="I464" i="3"/>
  <c r="J464" i="3"/>
  <c r="K464" i="3"/>
  <c r="M464" i="3" s="1"/>
  <c r="L464" i="3"/>
  <c r="I465" i="3"/>
  <c r="J465" i="3"/>
  <c r="K465" i="3"/>
  <c r="M465" i="3" s="1"/>
  <c r="L465" i="3"/>
  <c r="I466" i="3"/>
  <c r="J466" i="3"/>
  <c r="L466" i="3" s="1"/>
  <c r="M466" i="3" s="1"/>
  <c r="K466" i="3"/>
  <c r="I467" i="3"/>
  <c r="J467" i="3"/>
  <c r="L467" i="3" s="1"/>
  <c r="M467" i="3" s="1"/>
  <c r="K467" i="3"/>
  <c r="I468" i="3"/>
  <c r="J468" i="3"/>
  <c r="K468" i="3"/>
  <c r="L468" i="3"/>
  <c r="M468" i="3" s="1"/>
  <c r="I469" i="3"/>
  <c r="J469" i="3"/>
  <c r="L469" i="3" s="1"/>
  <c r="K469" i="3"/>
  <c r="M469" i="3" s="1"/>
  <c r="I470" i="3"/>
  <c r="J470" i="3"/>
  <c r="L470" i="3" s="1"/>
  <c r="K470" i="3"/>
  <c r="M470" i="3" s="1"/>
  <c r="I471" i="3"/>
  <c r="J471" i="3"/>
  <c r="L471" i="3" s="1"/>
  <c r="M471" i="3" s="1"/>
  <c r="K471" i="3"/>
  <c r="I472" i="3"/>
  <c r="J472" i="3"/>
  <c r="K472" i="3"/>
  <c r="M472" i="3" s="1"/>
  <c r="L472" i="3"/>
  <c r="I473" i="3"/>
  <c r="J473" i="3"/>
  <c r="K473" i="3"/>
  <c r="M473" i="3" s="1"/>
  <c r="L473" i="3"/>
  <c r="I474" i="3"/>
  <c r="J474" i="3"/>
  <c r="L474" i="3" s="1"/>
  <c r="K474" i="3"/>
  <c r="M474" i="3" s="1"/>
  <c r="I475" i="3"/>
  <c r="J475" i="3"/>
  <c r="L475" i="3" s="1"/>
  <c r="M475" i="3" s="1"/>
  <c r="K475" i="3"/>
  <c r="I476" i="3"/>
  <c r="J476" i="3"/>
  <c r="K476" i="3"/>
  <c r="L476" i="3"/>
  <c r="M476" i="3" s="1"/>
  <c r="I477" i="3"/>
  <c r="J477" i="3"/>
  <c r="L477" i="3" s="1"/>
  <c r="K477" i="3"/>
  <c r="M477" i="3" s="1"/>
  <c r="I478" i="3"/>
  <c r="J478" i="3"/>
  <c r="L478" i="3" s="1"/>
  <c r="K478" i="3"/>
  <c r="I479" i="3"/>
  <c r="J479" i="3"/>
  <c r="L479" i="3" s="1"/>
  <c r="M479" i="3" s="1"/>
  <c r="K479" i="3"/>
  <c r="I480" i="3"/>
  <c r="J480" i="3"/>
  <c r="K480" i="3"/>
  <c r="M480" i="3" s="1"/>
  <c r="L480" i="3"/>
  <c r="I481" i="3"/>
  <c r="J481" i="3"/>
  <c r="K481" i="3"/>
  <c r="M481" i="3" s="1"/>
  <c r="L481" i="3"/>
  <c r="I482" i="3"/>
  <c r="J482" i="3"/>
  <c r="L482" i="3" s="1"/>
  <c r="K482" i="3"/>
  <c r="M482" i="3" s="1"/>
  <c r="I483" i="3"/>
  <c r="J483" i="3"/>
  <c r="L483" i="3" s="1"/>
  <c r="M483" i="3" s="1"/>
  <c r="K483" i="3"/>
  <c r="I484" i="3"/>
  <c r="J484" i="3"/>
  <c r="K484" i="3"/>
  <c r="L484" i="3"/>
  <c r="M484" i="3" s="1"/>
  <c r="I485" i="3"/>
  <c r="J485" i="3"/>
  <c r="L485" i="3" s="1"/>
  <c r="K485" i="3"/>
  <c r="I486" i="3"/>
  <c r="J486" i="3"/>
  <c r="L486" i="3" s="1"/>
  <c r="K486" i="3"/>
  <c r="M486" i="3" s="1"/>
  <c r="I487" i="3"/>
  <c r="J487" i="3"/>
  <c r="K487" i="3"/>
  <c r="L487" i="3"/>
  <c r="M487" i="3"/>
  <c r="I488" i="3"/>
  <c r="J488" i="3"/>
  <c r="K488" i="3"/>
  <c r="M488" i="3" s="1"/>
  <c r="L488" i="3"/>
  <c r="I489" i="3"/>
  <c r="J489" i="3"/>
  <c r="K489" i="3"/>
  <c r="M489" i="3" s="1"/>
  <c r="L489" i="3"/>
  <c r="I490" i="3"/>
  <c r="J490" i="3"/>
  <c r="L490" i="3" s="1"/>
  <c r="M490" i="3" s="1"/>
  <c r="K490" i="3"/>
  <c r="I491" i="3"/>
  <c r="J491" i="3"/>
  <c r="L491" i="3" s="1"/>
  <c r="M491" i="3" s="1"/>
  <c r="K491" i="3"/>
  <c r="I492" i="3"/>
  <c r="J492" i="3"/>
  <c r="K492" i="3"/>
  <c r="L492" i="3"/>
  <c r="M492" i="3" s="1"/>
  <c r="I493" i="3"/>
  <c r="J493" i="3"/>
  <c r="L493" i="3" s="1"/>
  <c r="K493" i="3"/>
  <c r="M493" i="3" s="1"/>
  <c r="M2" i="3"/>
  <c r="L2" i="3"/>
  <c r="K2" i="3"/>
  <c r="J2" i="3"/>
  <c r="I2" i="3"/>
  <c r="M461" i="3" l="1"/>
  <c r="M445" i="3"/>
  <c r="M438" i="3"/>
  <c r="M426" i="3"/>
  <c r="M221" i="3"/>
  <c r="M437" i="3"/>
  <c r="M430" i="3"/>
  <c r="M418" i="3"/>
  <c r="M370" i="3"/>
  <c r="M306" i="3"/>
  <c r="M429" i="3"/>
  <c r="M422" i="3"/>
  <c r="M410" i="3"/>
  <c r="M374" i="3"/>
  <c r="M362" i="3"/>
  <c r="M485" i="3"/>
  <c r="M478" i="3"/>
  <c r="M450" i="3"/>
  <c r="M405" i="3"/>
  <c r="M398" i="3"/>
  <c r="M389" i="3"/>
  <c r="M357" i="3"/>
  <c r="M350" i="3"/>
  <c r="M289" i="3"/>
  <c r="M249" i="3"/>
  <c r="M308" i="3"/>
  <c r="M271" i="3"/>
  <c r="M225" i="3"/>
  <c r="M217" i="3"/>
  <c r="M215" i="3"/>
  <c r="M199" i="3"/>
  <c r="M188" i="3"/>
  <c r="M167" i="3"/>
  <c r="M156" i="3"/>
  <c r="M337" i="3"/>
  <c r="M313" i="3"/>
  <c r="M229" i="3"/>
  <c r="M223" i="3"/>
  <c r="M173" i="3"/>
  <c r="M141" i="3"/>
  <c r="M109" i="3"/>
  <c r="M77" i="3"/>
  <c r="M329" i="3"/>
  <c r="M297" i="3"/>
  <c r="M276" i="3"/>
  <c r="M303" i="3"/>
  <c r="M321" i="3"/>
  <c r="M281" i="3"/>
  <c r="M257" i="3"/>
  <c r="M40" i="3"/>
  <c r="M218" i="3"/>
  <c r="M189" i="3"/>
  <c r="M157" i="3"/>
  <c r="M125" i="3"/>
  <c r="M93" i="3"/>
  <c r="M61" i="3"/>
  <c r="M298" i="3"/>
  <c r="M266" i="3"/>
  <c r="M191" i="3"/>
  <c r="M180" i="3"/>
  <c r="M159" i="3"/>
  <c r="M148" i="3"/>
  <c r="M127" i="3"/>
  <c r="M116" i="3"/>
  <c r="M95" i="3"/>
  <c r="M84" i="3"/>
  <c r="M63" i="3"/>
  <c r="M52" i="3"/>
  <c r="M55" i="3"/>
  <c r="M53" i="3"/>
  <c r="M47" i="3"/>
  <c r="M45" i="3"/>
  <c r="M9" i="3"/>
  <c r="M36" i="3"/>
  <c r="M20" i="3"/>
  <c r="M13" i="3"/>
  <c r="M31" i="3"/>
  <c r="M17" i="3"/>
  <c r="M239" i="3"/>
  <c r="M207" i="3"/>
  <c r="M305" i="3"/>
  <c r="M273" i="3"/>
  <c r="M233" i="3"/>
  <c r="M201" i="3"/>
  <c r="M193" i="3"/>
  <c r="M185" i="3"/>
  <c r="M177" i="3"/>
  <c r="M169" i="3"/>
  <c r="M161" i="3"/>
  <c r="M153" i="3"/>
  <c r="M145" i="3"/>
  <c r="M137" i="3"/>
  <c r="M129" i="3"/>
  <c r="M121" i="3"/>
  <c r="M113" i="3"/>
  <c r="M105" i="3"/>
  <c r="M97" i="3"/>
  <c r="M89" i="3"/>
  <c r="M81" i="3"/>
  <c r="M73" i="3"/>
  <c r="M65" i="3"/>
  <c r="M57" i="3"/>
  <c r="M49" i="3"/>
  <c r="M41" i="3"/>
  <c r="M39" i="3"/>
  <c r="M21" i="3"/>
</calcChain>
</file>

<file path=xl/sharedStrings.xml><?xml version="1.0" encoding="utf-8"?>
<sst xmlns="http://schemas.openxmlformats.org/spreadsheetml/2006/main" count="23" uniqueCount="15">
  <si>
    <t>in_sf</t>
  </si>
  <si>
    <t>beds</t>
  </si>
  <si>
    <t>bath</t>
  </si>
  <si>
    <t>price</t>
  </si>
  <si>
    <t>year_built</t>
  </si>
  <si>
    <t>sqft</t>
  </si>
  <si>
    <t>price_per_sqft</t>
  </si>
  <si>
    <t>elevation</t>
  </si>
  <si>
    <t>X1</t>
  </si>
  <si>
    <t>X2</t>
  </si>
  <si>
    <t>X3</t>
  </si>
  <si>
    <t>X4</t>
  </si>
  <si>
    <t>X5</t>
  </si>
  <si>
    <t>Incluso utilizando las nuevas variables, podemos crear otras más</t>
  </si>
  <si>
    <t>Podemos generar muchas más variables a partir de las variables originales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</si>
</sst>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2328"/>
      <name val="Menlo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12AB-2EB5-CD44-95F0-C063373D7E9E}">
  <dimension ref="A1:H493"/>
  <sheetViews>
    <sheetView tabSelected="1" workbookViewId="0">
      <selection activeCell="C23" sqref="C23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0</v>
      </c>
      <c r="B2">
        <v>2</v>
      </c>
      <c r="C2">
        <v>1</v>
      </c>
      <c r="D2">
        <v>999000</v>
      </c>
      <c r="E2">
        <v>1960</v>
      </c>
      <c r="F2">
        <v>1000</v>
      </c>
      <c r="G2">
        <v>999</v>
      </c>
      <c r="H2">
        <v>10</v>
      </c>
    </row>
    <row r="3" spans="1:8" x14ac:dyDescent="0.2">
      <c r="A3" s="1">
        <v>0</v>
      </c>
      <c r="B3">
        <v>2</v>
      </c>
      <c r="C3">
        <v>2</v>
      </c>
      <c r="D3">
        <v>2750000</v>
      </c>
      <c r="E3">
        <v>2006</v>
      </c>
      <c r="F3">
        <v>1418</v>
      </c>
      <c r="G3">
        <v>1939</v>
      </c>
      <c r="H3">
        <v>0</v>
      </c>
    </row>
    <row r="4" spans="1:8" x14ac:dyDescent="0.2">
      <c r="A4" s="1">
        <v>0</v>
      </c>
      <c r="B4">
        <v>2</v>
      </c>
      <c r="C4">
        <v>2</v>
      </c>
      <c r="D4">
        <v>1350000</v>
      </c>
      <c r="E4">
        <v>1900</v>
      </c>
      <c r="F4">
        <v>2150</v>
      </c>
      <c r="G4">
        <v>628</v>
      </c>
      <c r="H4">
        <v>9</v>
      </c>
    </row>
    <row r="5" spans="1:8" x14ac:dyDescent="0.2">
      <c r="A5" s="1">
        <v>0</v>
      </c>
      <c r="B5">
        <v>1</v>
      </c>
      <c r="C5">
        <v>1</v>
      </c>
      <c r="D5">
        <v>629000</v>
      </c>
      <c r="E5">
        <v>1903</v>
      </c>
      <c r="F5">
        <v>500</v>
      </c>
      <c r="G5">
        <v>1258</v>
      </c>
      <c r="H5">
        <v>9</v>
      </c>
    </row>
    <row r="6" spans="1:8" x14ac:dyDescent="0.2">
      <c r="A6" s="1">
        <v>0</v>
      </c>
      <c r="B6">
        <v>0</v>
      </c>
      <c r="C6">
        <v>1</v>
      </c>
      <c r="D6">
        <v>439000</v>
      </c>
      <c r="E6">
        <v>1930</v>
      </c>
      <c r="F6">
        <v>500</v>
      </c>
      <c r="G6">
        <v>878</v>
      </c>
      <c r="H6">
        <v>10</v>
      </c>
    </row>
    <row r="7" spans="1:8" x14ac:dyDescent="0.2">
      <c r="A7" s="1">
        <v>0</v>
      </c>
      <c r="B7">
        <v>0</v>
      </c>
      <c r="C7">
        <v>1</v>
      </c>
      <c r="D7">
        <v>439000</v>
      </c>
      <c r="E7">
        <v>1930</v>
      </c>
      <c r="F7">
        <v>500</v>
      </c>
      <c r="G7">
        <v>878</v>
      </c>
      <c r="H7">
        <v>10</v>
      </c>
    </row>
    <row r="8" spans="1:8" x14ac:dyDescent="0.2">
      <c r="A8" s="1">
        <v>0</v>
      </c>
      <c r="B8">
        <v>1</v>
      </c>
      <c r="C8">
        <v>1</v>
      </c>
      <c r="D8">
        <v>475000</v>
      </c>
      <c r="E8">
        <v>1920</v>
      </c>
      <c r="F8">
        <v>500</v>
      </c>
      <c r="G8">
        <v>950</v>
      </c>
      <c r="H8">
        <v>10</v>
      </c>
    </row>
    <row r="9" spans="1:8" x14ac:dyDescent="0.2">
      <c r="A9" s="1">
        <v>0</v>
      </c>
      <c r="B9">
        <v>1</v>
      </c>
      <c r="C9">
        <v>1</v>
      </c>
      <c r="D9">
        <v>975000</v>
      </c>
      <c r="E9">
        <v>1930</v>
      </c>
      <c r="F9">
        <v>900</v>
      </c>
      <c r="G9">
        <v>1083</v>
      </c>
      <c r="H9">
        <v>10</v>
      </c>
    </row>
    <row r="10" spans="1:8" x14ac:dyDescent="0.2">
      <c r="A10" s="1">
        <v>0</v>
      </c>
      <c r="B10">
        <v>1</v>
      </c>
      <c r="C10">
        <v>1</v>
      </c>
      <c r="D10">
        <v>975000</v>
      </c>
      <c r="E10">
        <v>1930</v>
      </c>
      <c r="F10">
        <v>900</v>
      </c>
      <c r="G10">
        <v>1083</v>
      </c>
      <c r="H10">
        <v>12</v>
      </c>
    </row>
    <row r="11" spans="1:8" x14ac:dyDescent="0.2">
      <c r="A11" s="1">
        <v>0</v>
      </c>
      <c r="B11">
        <v>2</v>
      </c>
      <c r="C11">
        <v>1</v>
      </c>
      <c r="D11">
        <v>1895000</v>
      </c>
      <c r="E11">
        <v>1921</v>
      </c>
      <c r="F11">
        <v>1000</v>
      </c>
      <c r="G11">
        <v>1895</v>
      </c>
      <c r="H11">
        <v>12</v>
      </c>
    </row>
    <row r="12" spans="1:8" x14ac:dyDescent="0.2">
      <c r="A12" s="1">
        <v>0</v>
      </c>
      <c r="B12">
        <v>3</v>
      </c>
      <c r="C12">
        <v>3</v>
      </c>
      <c r="D12">
        <v>2095000</v>
      </c>
      <c r="E12">
        <v>1926</v>
      </c>
      <c r="F12">
        <v>2200</v>
      </c>
      <c r="G12">
        <v>952</v>
      </c>
      <c r="H12">
        <v>4</v>
      </c>
    </row>
    <row r="13" spans="1:8" x14ac:dyDescent="0.2">
      <c r="A13" s="1">
        <v>0</v>
      </c>
      <c r="B13">
        <v>1</v>
      </c>
      <c r="C13">
        <v>1</v>
      </c>
      <c r="D13">
        <v>999000</v>
      </c>
      <c r="E13">
        <v>1982</v>
      </c>
      <c r="F13">
        <v>784</v>
      </c>
      <c r="G13">
        <v>1274</v>
      </c>
      <c r="H13">
        <v>5</v>
      </c>
    </row>
    <row r="14" spans="1:8" x14ac:dyDescent="0.2">
      <c r="A14" s="1">
        <v>0</v>
      </c>
      <c r="B14">
        <v>1</v>
      </c>
      <c r="C14">
        <v>1</v>
      </c>
      <c r="D14">
        <v>999000</v>
      </c>
      <c r="E14">
        <v>1982</v>
      </c>
      <c r="F14">
        <v>784</v>
      </c>
      <c r="G14">
        <v>1274</v>
      </c>
      <c r="H14">
        <v>5</v>
      </c>
    </row>
    <row r="15" spans="1:8" x14ac:dyDescent="0.2">
      <c r="A15" s="1">
        <v>0</v>
      </c>
      <c r="B15">
        <v>1</v>
      </c>
      <c r="C15">
        <v>1</v>
      </c>
      <c r="D15">
        <v>1249000</v>
      </c>
      <c r="E15">
        <v>1987</v>
      </c>
      <c r="F15">
        <v>826</v>
      </c>
      <c r="G15">
        <v>1512</v>
      </c>
      <c r="H15">
        <v>3</v>
      </c>
    </row>
    <row r="16" spans="1:8" x14ac:dyDescent="0.2">
      <c r="A16" s="1">
        <v>0</v>
      </c>
      <c r="B16">
        <v>0</v>
      </c>
      <c r="C16">
        <v>1</v>
      </c>
      <c r="D16">
        <v>1110000</v>
      </c>
      <c r="E16">
        <v>2008</v>
      </c>
      <c r="F16">
        <v>698</v>
      </c>
      <c r="G16">
        <v>1590</v>
      </c>
      <c r="H16">
        <v>5</v>
      </c>
    </row>
    <row r="17" spans="1:8" x14ac:dyDescent="0.2">
      <c r="A17" s="1">
        <v>0</v>
      </c>
      <c r="B17">
        <v>2</v>
      </c>
      <c r="C17">
        <v>2</v>
      </c>
      <c r="D17">
        <v>2059500</v>
      </c>
      <c r="E17">
        <v>2008</v>
      </c>
      <c r="F17">
        <v>1373</v>
      </c>
      <c r="G17">
        <v>1500</v>
      </c>
      <c r="H17">
        <v>5</v>
      </c>
    </row>
    <row r="18" spans="1:8" x14ac:dyDescent="0.2">
      <c r="A18" s="1">
        <v>0</v>
      </c>
      <c r="B18">
        <v>2</v>
      </c>
      <c r="C18">
        <v>2</v>
      </c>
      <c r="D18">
        <v>2000000</v>
      </c>
      <c r="E18">
        <v>1928</v>
      </c>
      <c r="F18">
        <v>1200</v>
      </c>
      <c r="G18">
        <v>1667</v>
      </c>
      <c r="H18">
        <v>10</v>
      </c>
    </row>
    <row r="19" spans="1:8" x14ac:dyDescent="0.2">
      <c r="A19" s="1">
        <v>0</v>
      </c>
      <c r="B19">
        <v>1</v>
      </c>
      <c r="C19">
        <v>1</v>
      </c>
      <c r="D19">
        <v>715000</v>
      </c>
      <c r="E19">
        <v>1903</v>
      </c>
      <c r="F19">
        <v>557</v>
      </c>
      <c r="G19">
        <v>1284</v>
      </c>
      <c r="H19">
        <v>3</v>
      </c>
    </row>
    <row r="20" spans="1:8" x14ac:dyDescent="0.2">
      <c r="A20" s="1">
        <v>0</v>
      </c>
      <c r="B20">
        <v>2</v>
      </c>
      <c r="C20">
        <v>2</v>
      </c>
      <c r="D20">
        <v>2498000</v>
      </c>
      <c r="E20">
        <v>2005</v>
      </c>
      <c r="F20">
        <v>1260</v>
      </c>
      <c r="G20">
        <v>1983</v>
      </c>
      <c r="H20">
        <v>2</v>
      </c>
    </row>
    <row r="21" spans="1:8" x14ac:dyDescent="0.2">
      <c r="A21" s="1">
        <v>0</v>
      </c>
      <c r="B21">
        <v>2</v>
      </c>
      <c r="C21">
        <v>1.5</v>
      </c>
      <c r="D21">
        <v>2650000</v>
      </c>
      <c r="E21">
        <v>1915</v>
      </c>
      <c r="F21">
        <v>2500</v>
      </c>
      <c r="G21">
        <v>1060</v>
      </c>
      <c r="H21">
        <v>5</v>
      </c>
    </row>
    <row r="22" spans="1:8" x14ac:dyDescent="0.2">
      <c r="A22" s="1">
        <v>0</v>
      </c>
      <c r="B22">
        <v>2</v>
      </c>
      <c r="C22">
        <v>2</v>
      </c>
      <c r="D22">
        <v>3450000</v>
      </c>
      <c r="E22">
        <v>1900</v>
      </c>
      <c r="F22">
        <v>1850</v>
      </c>
      <c r="G22">
        <v>1865</v>
      </c>
      <c r="H22">
        <v>9</v>
      </c>
    </row>
    <row r="23" spans="1:8" x14ac:dyDescent="0.2">
      <c r="A23" s="1">
        <v>0</v>
      </c>
      <c r="B23">
        <v>1</v>
      </c>
      <c r="C23">
        <v>1</v>
      </c>
      <c r="D23">
        <v>3105000</v>
      </c>
      <c r="E23">
        <v>2016</v>
      </c>
      <c r="F23">
        <v>1108</v>
      </c>
      <c r="G23">
        <v>2802</v>
      </c>
      <c r="H23">
        <v>10</v>
      </c>
    </row>
    <row r="24" spans="1:8" x14ac:dyDescent="0.2">
      <c r="A24" s="1">
        <v>0</v>
      </c>
      <c r="B24">
        <v>4</v>
      </c>
      <c r="C24">
        <v>5</v>
      </c>
      <c r="D24">
        <v>13750000</v>
      </c>
      <c r="E24">
        <v>2016</v>
      </c>
      <c r="F24">
        <v>3699</v>
      </c>
      <c r="G24">
        <v>3717</v>
      </c>
      <c r="H24">
        <v>10</v>
      </c>
    </row>
    <row r="25" spans="1:8" x14ac:dyDescent="0.2">
      <c r="A25" s="1">
        <v>0</v>
      </c>
      <c r="B25">
        <v>2</v>
      </c>
      <c r="C25">
        <v>2</v>
      </c>
      <c r="D25">
        <v>1185000</v>
      </c>
      <c r="E25">
        <v>1900</v>
      </c>
      <c r="F25">
        <v>1000</v>
      </c>
      <c r="G25">
        <v>1185</v>
      </c>
      <c r="H25">
        <v>4</v>
      </c>
    </row>
    <row r="26" spans="1:8" x14ac:dyDescent="0.2">
      <c r="A26" s="1">
        <v>0</v>
      </c>
      <c r="B26">
        <v>1</v>
      </c>
      <c r="C26">
        <v>2</v>
      </c>
      <c r="D26">
        <v>1699000</v>
      </c>
      <c r="E26">
        <v>1900</v>
      </c>
      <c r="F26">
        <v>1500</v>
      </c>
      <c r="G26">
        <v>1133</v>
      </c>
      <c r="H26">
        <v>5</v>
      </c>
    </row>
    <row r="27" spans="1:8" x14ac:dyDescent="0.2">
      <c r="A27" s="1">
        <v>0</v>
      </c>
      <c r="B27">
        <v>1</v>
      </c>
      <c r="C27">
        <v>1</v>
      </c>
      <c r="D27">
        <v>1195000</v>
      </c>
      <c r="E27">
        <v>1900</v>
      </c>
      <c r="F27">
        <v>1093</v>
      </c>
      <c r="G27">
        <v>1093</v>
      </c>
      <c r="H27">
        <v>6</v>
      </c>
    </row>
    <row r="28" spans="1:8" x14ac:dyDescent="0.2">
      <c r="A28" s="1">
        <v>0</v>
      </c>
      <c r="B28">
        <v>1</v>
      </c>
      <c r="C28">
        <v>1</v>
      </c>
      <c r="D28">
        <v>450000</v>
      </c>
      <c r="E28">
        <v>1920</v>
      </c>
      <c r="F28">
        <v>500</v>
      </c>
      <c r="G28">
        <v>900</v>
      </c>
      <c r="H28">
        <v>10</v>
      </c>
    </row>
    <row r="29" spans="1:8" x14ac:dyDescent="0.2">
      <c r="A29" s="1">
        <v>0</v>
      </c>
      <c r="B29">
        <v>1</v>
      </c>
      <c r="C29">
        <v>1</v>
      </c>
      <c r="D29">
        <v>1195000</v>
      </c>
      <c r="E29">
        <v>1900</v>
      </c>
      <c r="F29">
        <v>1093</v>
      </c>
      <c r="G29">
        <v>1093</v>
      </c>
      <c r="H29">
        <v>10</v>
      </c>
    </row>
    <row r="30" spans="1:8" x14ac:dyDescent="0.2">
      <c r="A30" s="1">
        <v>0</v>
      </c>
      <c r="B30">
        <v>2</v>
      </c>
      <c r="C30">
        <v>2</v>
      </c>
      <c r="D30">
        <v>1185000</v>
      </c>
      <c r="E30">
        <v>1900</v>
      </c>
      <c r="F30">
        <v>1000</v>
      </c>
      <c r="G30">
        <v>1185</v>
      </c>
      <c r="H30">
        <v>10</v>
      </c>
    </row>
    <row r="31" spans="1:8" x14ac:dyDescent="0.2">
      <c r="A31" s="1">
        <v>0</v>
      </c>
      <c r="B31">
        <v>0</v>
      </c>
      <c r="C31">
        <v>1</v>
      </c>
      <c r="D31">
        <v>625000</v>
      </c>
      <c r="E31">
        <v>1964</v>
      </c>
      <c r="F31">
        <v>800</v>
      </c>
      <c r="G31">
        <v>781</v>
      </c>
      <c r="H31">
        <v>8</v>
      </c>
    </row>
    <row r="32" spans="1:8" x14ac:dyDescent="0.2">
      <c r="A32" s="1">
        <v>0</v>
      </c>
      <c r="B32">
        <v>2</v>
      </c>
      <c r="C32">
        <v>2</v>
      </c>
      <c r="D32">
        <v>3159990</v>
      </c>
      <c r="E32">
        <v>2012</v>
      </c>
      <c r="F32">
        <v>1420</v>
      </c>
      <c r="G32">
        <v>2225</v>
      </c>
      <c r="H32">
        <v>8</v>
      </c>
    </row>
    <row r="33" spans="1:8" x14ac:dyDescent="0.2">
      <c r="A33" s="1">
        <v>0</v>
      </c>
      <c r="B33">
        <v>2</v>
      </c>
      <c r="C33">
        <v>2</v>
      </c>
      <c r="D33">
        <v>2200000</v>
      </c>
      <c r="E33">
        <v>1920</v>
      </c>
      <c r="F33">
        <v>2050</v>
      </c>
      <c r="G33">
        <v>1073</v>
      </c>
      <c r="H33">
        <v>10</v>
      </c>
    </row>
    <row r="34" spans="1:8" x14ac:dyDescent="0.2">
      <c r="A34" s="1">
        <v>0</v>
      </c>
      <c r="B34">
        <v>2</v>
      </c>
      <c r="C34">
        <v>2</v>
      </c>
      <c r="D34">
        <v>4895000</v>
      </c>
      <c r="E34">
        <v>2016</v>
      </c>
      <c r="F34">
        <v>1520</v>
      </c>
      <c r="G34">
        <v>3220</v>
      </c>
      <c r="H34">
        <v>10</v>
      </c>
    </row>
    <row r="35" spans="1:8" x14ac:dyDescent="0.2">
      <c r="A35" s="1">
        <v>0</v>
      </c>
      <c r="B35">
        <v>2</v>
      </c>
      <c r="C35">
        <v>2</v>
      </c>
      <c r="D35">
        <v>6525000</v>
      </c>
      <c r="E35">
        <v>2016</v>
      </c>
      <c r="F35">
        <v>2018</v>
      </c>
      <c r="G35">
        <v>3233</v>
      </c>
      <c r="H35">
        <v>10</v>
      </c>
    </row>
    <row r="36" spans="1:8" x14ac:dyDescent="0.2">
      <c r="A36" s="1">
        <v>0</v>
      </c>
      <c r="B36">
        <v>2</v>
      </c>
      <c r="C36">
        <v>2</v>
      </c>
      <c r="D36">
        <v>4895000</v>
      </c>
      <c r="E36">
        <v>2016</v>
      </c>
      <c r="F36">
        <v>1520</v>
      </c>
      <c r="G36">
        <v>3220</v>
      </c>
      <c r="H36">
        <v>11</v>
      </c>
    </row>
    <row r="37" spans="1:8" x14ac:dyDescent="0.2">
      <c r="A37" s="1">
        <v>0</v>
      </c>
      <c r="B37">
        <v>2</v>
      </c>
      <c r="C37">
        <v>2</v>
      </c>
      <c r="D37">
        <v>6525000</v>
      </c>
      <c r="E37">
        <v>2016</v>
      </c>
      <c r="F37">
        <v>2018</v>
      </c>
      <c r="G37">
        <v>3233</v>
      </c>
      <c r="H37">
        <v>11</v>
      </c>
    </row>
    <row r="38" spans="1:8" x14ac:dyDescent="0.2">
      <c r="A38" s="1">
        <v>0</v>
      </c>
      <c r="B38">
        <v>2</v>
      </c>
      <c r="C38">
        <v>2</v>
      </c>
      <c r="D38">
        <v>1675000</v>
      </c>
      <c r="E38">
        <v>2006</v>
      </c>
      <c r="F38">
        <v>1225</v>
      </c>
      <c r="G38">
        <v>1367</v>
      </c>
      <c r="H38">
        <v>12</v>
      </c>
    </row>
    <row r="39" spans="1:8" x14ac:dyDescent="0.2">
      <c r="A39" s="1">
        <v>0</v>
      </c>
      <c r="B39">
        <v>2</v>
      </c>
      <c r="C39">
        <v>2</v>
      </c>
      <c r="D39">
        <v>1675000</v>
      </c>
      <c r="E39">
        <v>2006</v>
      </c>
      <c r="F39">
        <v>1225</v>
      </c>
      <c r="G39">
        <v>1367</v>
      </c>
      <c r="H39">
        <v>12</v>
      </c>
    </row>
    <row r="40" spans="1:8" x14ac:dyDescent="0.2">
      <c r="A40" s="1">
        <v>0</v>
      </c>
      <c r="B40">
        <v>2</v>
      </c>
      <c r="C40">
        <v>1</v>
      </c>
      <c r="D40">
        <v>999000</v>
      </c>
      <c r="E40">
        <v>1985</v>
      </c>
      <c r="F40">
        <v>799</v>
      </c>
      <c r="G40">
        <v>1250</v>
      </c>
      <c r="H40">
        <v>5</v>
      </c>
    </row>
    <row r="41" spans="1:8" x14ac:dyDescent="0.2">
      <c r="A41" s="1">
        <v>0</v>
      </c>
      <c r="B41">
        <v>1</v>
      </c>
      <c r="C41">
        <v>1</v>
      </c>
      <c r="D41">
        <v>1550000</v>
      </c>
      <c r="E41">
        <v>1926</v>
      </c>
      <c r="F41">
        <v>1000</v>
      </c>
      <c r="G41">
        <v>1550</v>
      </c>
      <c r="H41">
        <v>6</v>
      </c>
    </row>
    <row r="42" spans="1:8" x14ac:dyDescent="0.2">
      <c r="A42" s="1">
        <v>0</v>
      </c>
      <c r="B42">
        <v>1</v>
      </c>
      <c r="C42">
        <v>1</v>
      </c>
      <c r="D42">
        <v>1595000</v>
      </c>
      <c r="E42">
        <v>2015</v>
      </c>
      <c r="F42">
        <v>714</v>
      </c>
      <c r="G42">
        <v>2234</v>
      </c>
      <c r="H42">
        <v>7</v>
      </c>
    </row>
    <row r="43" spans="1:8" x14ac:dyDescent="0.2">
      <c r="A43" s="1">
        <v>0</v>
      </c>
      <c r="B43">
        <v>2</v>
      </c>
      <c r="C43">
        <v>2</v>
      </c>
      <c r="D43">
        <v>3995000</v>
      </c>
      <c r="E43">
        <v>1906</v>
      </c>
      <c r="F43">
        <v>2400</v>
      </c>
      <c r="G43">
        <v>1665</v>
      </c>
      <c r="H43">
        <v>9</v>
      </c>
    </row>
    <row r="44" spans="1:8" x14ac:dyDescent="0.2">
      <c r="A44" s="1">
        <v>0</v>
      </c>
      <c r="B44">
        <v>1</v>
      </c>
      <c r="C44">
        <v>1</v>
      </c>
      <c r="D44">
        <v>1285000</v>
      </c>
      <c r="E44">
        <v>2012</v>
      </c>
      <c r="F44">
        <v>749</v>
      </c>
      <c r="G44">
        <v>1716</v>
      </c>
      <c r="H44">
        <v>10</v>
      </c>
    </row>
    <row r="45" spans="1:8" x14ac:dyDescent="0.2">
      <c r="A45" s="1">
        <v>0</v>
      </c>
      <c r="B45">
        <v>1</v>
      </c>
      <c r="C45">
        <v>1</v>
      </c>
      <c r="D45">
        <v>1595000</v>
      </c>
      <c r="E45">
        <v>2015</v>
      </c>
      <c r="F45">
        <v>714</v>
      </c>
      <c r="G45">
        <v>2234</v>
      </c>
      <c r="H45">
        <v>10</v>
      </c>
    </row>
    <row r="46" spans="1:8" x14ac:dyDescent="0.2">
      <c r="A46" s="1">
        <v>0</v>
      </c>
      <c r="B46">
        <v>2</v>
      </c>
      <c r="C46">
        <v>2</v>
      </c>
      <c r="D46">
        <v>3995000</v>
      </c>
      <c r="E46">
        <v>1906</v>
      </c>
      <c r="F46">
        <v>2400</v>
      </c>
      <c r="G46">
        <v>1665</v>
      </c>
      <c r="H46">
        <v>10</v>
      </c>
    </row>
    <row r="47" spans="1:8" x14ac:dyDescent="0.2">
      <c r="A47" s="1">
        <v>0</v>
      </c>
      <c r="B47">
        <v>2</v>
      </c>
      <c r="C47">
        <v>2</v>
      </c>
      <c r="D47">
        <v>4995000</v>
      </c>
      <c r="E47">
        <v>1900</v>
      </c>
      <c r="F47">
        <v>2024</v>
      </c>
      <c r="G47">
        <v>2468</v>
      </c>
      <c r="H47">
        <v>8</v>
      </c>
    </row>
    <row r="48" spans="1:8" x14ac:dyDescent="0.2">
      <c r="A48" s="1">
        <v>0</v>
      </c>
      <c r="B48">
        <v>3</v>
      </c>
      <c r="C48">
        <v>2</v>
      </c>
      <c r="D48">
        <v>3580000</v>
      </c>
      <c r="E48">
        <v>1880</v>
      </c>
      <c r="F48">
        <v>3000</v>
      </c>
      <c r="G48">
        <v>1193</v>
      </c>
      <c r="H48">
        <v>10</v>
      </c>
    </row>
    <row r="49" spans="1:8" x14ac:dyDescent="0.2">
      <c r="A49" s="1">
        <v>0</v>
      </c>
      <c r="B49">
        <v>3</v>
      </c>
      <c r="C49">
        <v>3</v>
      </c>
      <c r="D49">
        <v>6350000</v>
      </c>
      <c r="E49">
        <v>2015</v>
      </c>
      <c r="F49">
        <v>2500</v>
      </c>
      <c r="G49">
        <v>2540</v>
      </c>
      <c r="H49">
        <v>3</v>
      </c>
    </row>
    <row r="50" spans="1:8" x14ac:dyDescent="0.2">
      <c r="A50" s="1">
        <v>0</v>
      </c>
      <c r="B50">
        <v>3</v>
      </c>
      <c r="C50">
        <v>3</v>
      </c>
      <c r="D50">
        <v>6550000</v>
      </c>
      <c r="E50">
        <v>2015</v>
      </c>
      <c r="F50">
        <v>2500</v>
      </c>
      <c r="G50">
        <v>2620</v>
      </c>
      <c r="H50">
        <v>3</v>
      </c>
    </row>
    <row r="51" spans="1:8" x14ac:dyDescent="0.2">
      <c r="A51" s="1">
        <v>0</v>
      </c>
      <c r="B51">
        <v>3</v>
      </c>
      <c r="C51">
        <v>3</v>
      </c>
      <c r="D51">
        <v>5985000</v>
      </c>
      <c r="E51">
        <v>1909</v>
      </c>
      <c r="F51">
        <v>3300</v>
      </c>
      <c r="G51">
        <v>1814</v>
      </c>
      <c r="H51">
        <v>3</v>
      </c>
    </row>
    <row r="52" spans="1:8" x14ac:dyDescent="0.2">
      <c r="A52" s="1">
        <v>0</v>
      </c>
      <c r="B52">
        <v>3</v>
      </c>
      <c r="C52">
        <v>3</v>
      </c>
      <c r="D52">
        <v>9900000</v>
      </c>
      <c r="E52">
        <v>2015</v>
      </c>
      <c r="F52">
        <v>2950</v>
      </c>
      <c r="G52">
        <v>3356</v>
      </c>
      <c r="H52">
        <v>4</v>
      </c>
    </row>
    <row r="53" spans="1:8" x14ac:dyDescent="0.2">
      <c r="A53" s="1">
        <v>0</v>
      </c>
      <c r="B53">
        <v>1</v>
      </c>
      <c r="C53">
        <v>1</v>
      </c>
      <c r="D53">
        <v>1849000</v>
      </c>
      <c r="E53">
        <v>1920</v>
      </c>
      <c r="F53">
        <v>1400</v>
      </c>
      <c r="G53">
        <v>1321</v>
      </c>
      <c r="H53">
        <v>5</v>
      </c>
    </row>
    <row r="54" spans="1:8" x14ac:dyDescent="0.2">
      <c r="A54" s="1">
        <v>0</v>
      </c>
      <c r="B54">
        <v>2</v>
      </c>
      <c r="C54">
        <v>2</v>
      </c>
      <c r="D54">
        <v>3500000</v>
      </c>
      <c r="E54">
        <v>1915</v>
      </c>
      <c r="F54">
        <v>2000</v>
      </c>
      <c r="G54">
        <v>1750</v>
      </c>
      <c r="H54">
        <v>5</v>
      </c>
    </row>
    <row r="55" spans="1:8" x14ac:dyDescent="0.2">
      <c r="A55" s="1">
        <v>0</v>
      </c>
      <c r="B55">
        <v>2</v>
      </c>
      <c r="C55">
        <v>2</v>
      </c>
      <c r="D55">
        <v>3500000</v>
      </c>
      <c r="E55">
        <v>1910</v>
      </c>
      <c r="F55">
        <v>1887</v>
      </c>
      <c r="G55">
        <v>1855</v>
      </c>
      <c r="H55">
        <v>5</v>
      </c>
    </row>
    <row r="56" spans="1:8" x14ac:dyDescent="0.2">
      <c r="A56" s="1">
        <v>0</v>
      </c>
      <c r="B56">
        <v>1</v>
      </c>
      <c r="C56">
        <v>1</v>
      </c>
      <c r="D56">
        <v>1250000</v>
      </c>
      <c r="E56">
        <v>2007</v>
      </c>
      <c r="F56">
        <v>720</v>
      </c>
      <c r="G56">
        <v>1736</v>
      </c>
      <c r="H56">
        <v>6</v>
      </c>
    </row>
    <row r="57" spans="1:8" x14ac:dyDescent="0.2">
      <c r="A57" s="1">
        <v>0</v>
      </c>
      <c r="B57">
        <v>2</v>
      </c>
      <c r="C57">
        <v>1</v>
      </c>
      <c r="D57">
        <v>899000</v>
      </c>
      <c r="E57">
        <v>1990</v>
      </c>
      <c r="F57">
        <v>820</v>
      </c>
      <c r="G57">
        <v>1096</v>
      </c>
      <c r="H57">
        <v>7</v>
      </c>
    </row>
    <row r="58" spans="1:8" x14ac:dyDescent="0.2">
      <c r="A58" s="1">
        <v>0</v>
      </c>
      <c r="B58">
        <v>1</v>
      </c>
      <c r="C58">
        <v>2</v>
      </c>
      <c r="D58">
        <v>1950000</v>
      </c>
      <c r="E58">
        <v>1900</v>
      </c>
      <c r="F58">
        <v>1300</v>
      </c>
      <c r="G58">
        <v>1500</v>
      </c>
      <c r="H58">
        <v>7</v>
      </c>
    </row>
    <row r="59" spans="1:8" x14ac:dyDescent="0.2">
      <c r="A59" s="1">
        <v>0</v>
      </c>
      <c r="B59">
        <v>1</v>
      </c>
      <c r="C59">
        <v>1</v>
      </c>
      <c r="D59">
        <v>1750000</v>
      </c>
      <c r="E59">
        <v>1963</v>
      </c>
      <c r="F59">
        <v>1000</v>
      </c>
      <c r="G59">
        <v>1750</v>
      </c>
      <c r="H59">
        <v>5</v>
      </c>
    </row>
    <row r="60" spans="1:8" x14ac:dyDescent="0.2">
      <c r="A60" s="1">
        <v>0</v>
      </c>
      <c r="B60">
        <v>0</v>
      </c>
      <c r="C60">
        <v>1</v>
      </c>
      <c r="D60">
        <v>775000</v>
      </c>
      <c r="E60">
        <v>2009</v>
      </c>
      <c r="F60">
        <v>546</v>
      </c>
      <c r="G60">
        <v>1419</v>
      </c>
      <c r="H60">
        <v>6</v>
      </c>
    </row>
    <row r="61" spans="1:8" x14ac:dyDescent="0.2">
      <c r="A61" s="1">
        <v>0</v>
      </c>
      <c r="B61">
        <v>0</v>
      </c>
      <c r="C61">
        <v>1</v>
      </c>
      <c r="D61">
        <v>390000</v>
      </c>
      <c r="E61">
        <v>1955</v>
      </c>
      <c r="F61">
        <v>550</v>
      </c>
      <c r="G61">
        <v>709</v>
      </c>
      <c r="H61">
        <v>6</v>
      </c>
    </row>
    <row r="62" spans="1:8" x14ac:dyDescent="0.2">
      <c r="A62" s="1">
        <v>0</v>
      </c>
      <c r="B62">
        <v>0</v>
      </c>
      <c r="C62">
        <v>1</v>
      </c>
      <c r="D62">
        <v>699999</v>
      </c>
      <c r="E62">
        <v>1988</v>
      </c>
      <c r="F62">
        <v>500</v>
      </c>
      <c r="G62">
        <v>1400</v>
      </c>
      <c r="H62">
        <v>9</v>
      </c>
    </row>
    <row r="63" spans="1:8" x14ac:dyDescent="0.2">
      <c r="A63" s="1">
        <v>0</v>
      </c>
      <c r="B63">
        <v>1</v>
      </c>
      <c r="C63">
        <v>1</v>
      </c>
      <c r="D63">
        <v>649000</v>
      </c>
      <c r="E63">
        <v>1965</v>
      </c>
      <c r="F63">
        <v>750</v>
      </c>
      <c r="G63">
        <v>865</v>
      </c>
      <c r="H63">
        <v>10</v>
      </c>
    </row>
    <row r="64" spans="1:8" x14ac:dyDescent="0.2">
      <c r="A64" s="1">
        <v>0</v>
      </c>
      <c r="B64">
        <v>2</v>
      </c>
      <c r="C64">
        <v>2</v>
      </c>
      <c r="D64">
        <v>1200000</v>
      </c>
      <c r="E64">
        <v>1964</v>
      </c>
      <c r="F64">
        <v>1200</v>
      </c>
      <c r="G64">
        <v>1000</v>
      </c>
      <c r="H64">
        <v>10</v>
      </c>
    </row>
    <row r="65" spans="1:8" x14ac:dyDescent="0.2">
      <c r="A65" s="1">
        <v>0</v>
      </c>
      <c r="B65">
        <v>0</v>
      </c>
      <c r="C65">
        <v>1</v>
      </c>
      <c r="D65">
        <v>319000</v>
      </c>
      <c r="E65">
        <v>1941</v>
      </c>
      <c r="F65">
        <v>500</v>
      </c>
      <c r="G65">
        <v>638</v>
      </c>
      <c r="H65">
        <v>10</v>
      </c>
    </row>
    <row r="66" spans="1:8" x14ac:dyDescent="0.2">
      <c r="A66" s="1">
        <v>0</v>
      </c>
      <c r="B66">
        <v>0</v>
      </c>
      <c r="C66">
        <v>1</v>
      </c>
      <c r="D66">
        <v>699999</v>
      </c>
      <c r="E66">
        <v>1988</v>
      </c>
      <c r="F66">
        <v>500</v>
      </c>
      <c r="G66">
        <v>1400</v>
      </c>
      <c r="H66">
        <v>10</v>
      </c>
    </row>
    <row r="67" spans="1:8" x14ac:dyDescent="0.2">
      <c r="A67" s="1">
        <v>0</v>
      </c>
      <c r="B67">
        <v>0</v>
      </c>
      <c r="C67">
        <v>1</v>
      </c>
      <c r="D67">
        <v>775000</v>
      </c>
      <c r="E67">
        <v>2009</v>
      </c>
      <c r="F67">
        <v>546</v>
      </c>
      <c r="G67">
        <v>1419</v>
      </c>
      <c r="H67">
        <v>10</v>
      </c>
    </row>
    <row r="68" spans="1:8" x14ac:dyDescent="0.2">
      <c r="A68" s="1">
        <v>0</v>
      </c>
      <c r="B68">
        <v>1</v>
      </c>
      <c r="C68">
        <v>1</v>
      </c>
      <c r="D68">
        <v>649000</v>
      </c>
      <c r="E68">
        <v>1965</v>
      </c>
      <c r="F68">
        <v>750</v>
      </c>
      <c r="G68">
        <v>865</v>
      </c>
      <c r="H68">
        <v>10</v>
      </c>
    </row>
    <row r="69" spans="1:8" x14ac:dyDescent="0.2">
      <c r="A69" s="1">
        <v>0</v>
      </c>
      <c r="B69">
        <v>2</v>
      </c>
      <c r="C69">
        <v>2</v>
      </c>
      <c r="D69">
        <v>1849000</v>
      </c>
      <c r="E69">
        <v>2009</v>
      </c>
      <c r="F69">
        <v>1135</v>
      </c>
      <c r="G69">
        <v>1629</v>
      </c>
      <c r="H69">
        <v>10</v>
      </c>
    </row>
    <row r="70" spans="1:8" x14ac:dyDescent="0.2">
      <c r="A70" s="1">
        <v>0</v>
      </c>
      <c r="B70">
        <v>1</v>
      </c>
      <c r="C70">
        <v>1</v>
      </c>
      <c r="D70">
        <v>615000</v>
      </c>
      <c r="E70">
        <v>1960</v>
      </c>
      <c r="F70">
        <v>750</v>
      </c>
      <c r="G70">
        <v>820</v>
      </c>
      <c r="H70">
        <v>11</v>
      </c>
    </row>
    <row r="71" spans="1:8" x14ac:dyDescent="0.2">
      <c r="A71" s="1">
        <v>0</v>
      </c>
      <c r="B71">
        <v>1</v>
      </c>
      <c r="C71">
        <v>1</v>
      </c>
      <c r="D71">
        <v>1590000</v>
      </c>
      <c r="E71">
        <v>2008</v>
      </c>
      <c r="F71">
        <v>785</v>
      </c>
      <c r="G71">
        <v>2025</v>
      </c>
      <c r="H71">
        <v>12</v>
      </c>
    </row>
    <row r="72" spans="1:8" x14ac:dyDescent="0.2">
      <c r="A72" s="1">
        <v>0</v>
      </c>
      <c r="B72">
        <v>1</v>
      </c>
      <c r="C72">
        <v>1</v>
      </c>
      <c r="D72">
        <v>1150000</v>
      </c>
      <c r="E72">
        <v>2014</v>
      </c>
      <c r="F72">
        <v>645</v>
      </c>
      <c r="G72">
        <v>1783</v>
      </c>
      <c r="H72">
        <v>18</v>
      </c>
    </row>
    <row r="73" spans="1:8" x14ac:dyDescent="0.2">
      <c r="A73" s="1">
        <v>0</v>
      </c>
      <c r="B73">
        <v>2</v>
      </c>
      <c r="C73">
        <v>2</v>
      </c>
      <c r="D73">
        <v>2650000</v>
      </c>
      <c r="E73">
        <v>2014</v>
      </c>
      <c r="F73">
        <v>1240</v>
      </c>
      <c r="G73">
        <v>2137</v>
      </c>
      <c r="H73">
        <v>18</v>
      </c>
    </row>
    <row r="74" spans="1:8" x14ac:dyDescent="0.2">
      <c r="A74" s="1">
        <v>0</v>
      </c>
      <c r="B74">
        <v>0</v>
      </c>
      <c r="C74">
        <v>1</v>
      </c>
      <c r="D74">
        <v>469000</v>
      </c>
      <c r="E74">
        <v>1932</v>
      </c>
      <c r="F74">
        <v>500</v>
      </c>
      <c r="G74">
        <v>938</v>
      </c>
      <c r="H74">
        <v>18</v>
      </c>
    </row>
    <row r="75" spans="1:8" x14ac:dyDescent="0.2">
      <c r="A75" s="1">
        <v>0</v>
      </c>
      <c r="B75">
        <v>0</v>
      </c>
      <c r="C75">
        <v>1</v>
      </c>
      <c r="D75">
        <v>569000</v>
      </c>
      <c r="E75">
        <v>1962</v>
      </c>
      <c r="F75">
        <v>543</v>
      </c>
      <c r="G75">
        <v>1048</v>
      </c>
      <c r="H75">
        <v>8</v>
      </c>
    </row>
    <row r="76" spans="1:8" x14ac:dyDescent="0.2">
      <c r="A76" s="1">
        <v>0</v>
      </c>
      <c r="B76">
        <v>1</v>
      </c>
      <c r="C76">
        <v>1</v>
      </c>
      <c r="D76">
        <v>549000</v>
      </c>
      <c r="E76">
        <v>1924</v>
      </c>
      <c r="F76">
        <v>750</v>
      </c>
      <c r="G76">
        <v>732</v>
      </c>
      <c r="H76">
        <v>10</v>
      </c>
    </row>
    <row r="77" spans="1:8" x14ac:dyDescent="0.2">
      <c r="A77" s="1">
        <v>0</v>
      </c>
      <c r="B77">
        <v>2</v>
      </c>
      <c r="C77">
        <v>2</v>
      </c>
      <c r="D77">
        <v>799000</v>
      </c>
      <c r="E77">
        <v>1928</v>
      </c>
      <c r="F77">
        <v>850</v>
      </c>
      <c r="G77">
        <v>940</v>
      </c>
      <c r="H77">
        <v>19</v>
      </c>
    </row>
    <row r="78" spans="1:8" x14ac:dyDescent="0.2">
      <c r="A78" s="1">
        <v>0</v>
      </c>
      <c r="B78">
        <v>2</v>
      </c>
      <c r="C78">
        <v>2</v>
      </c>
      <c r="D78">
        <v>879000</v>
      </c>
      <c r="E78">
        <v>1928</v>
      </c>
      <c r="F78">
        <v>800</v>
      </c>
      <c r="G78">
        <v>1099</v>
      </c>
      <c r="H78">
        <v>22</v>
      </c>
    </row>
    <row r="79" spans="1:8" x14ac:dyDescent="0.2">
      <c r="A79" s="1">
        <v>0</v>
      </c>
      <c r="B79">
        <v>2</v>
      </c>
      <c r="C79">
        <v>3</v>
      </c>
      <c r="D79">
        <v>2999000</v>
      </c>
      <c r="E79">
        <v>1925</v>
      </c>
      <c r="F79">
        <v>3200</v>
      </c>
      <c r="G79">
        <v>937</v>
      </c>
      <c r="H79">
        <v>10</v>
      </c>
    </row>
    <row r="80" spans="1:8" x14ac:dyDescent="0.2">
      <c r="A80" s="1">
        <v>0</v>
      </c>
      <c r="B80">
        <v>2</v>
      </c>
      <c r="C80">
        <v>3</v>
      </c>
      <c r="D80">
        <v>2999000</v>
      </c>
      <c r="E80">
        <v>1925</v>
      </c>
      <c r="F80">
        <v>3200</v>
      </c>
      <c r="G80">
        <v>937</v>
      </c>
      <c r="H80">
        <v>10</v>
      </c>
    </row>
    <row r="81" spans="1:8" x14ac:dyDescent="0.2">
      <c r="A81" s="1">
        <v>0</v>
      </c>
      <c r="B81">
        <v>2</v>
      </c>
      <c r="C81">
        <v>3</v>
      </c>
      <c r="D81">
        <v>2999000</v>
      </c>
      <c r="E81">
        <v>1925</v>
      </c>
      <c r="F81">
        <v>3200</v>
      </c>
      <c r="G81">
        <v>937</v>
      </c>
      <c r="H81">
        <v>12</v>
      </c>
    </row>
    <row r="82" spans="1:8" x14ac:dyDescent="0.2">
      <c r="A82" s="1">
        <v>0</v>
      </c>
      <c r="B82">
        <v>2</v>
      </c>
      <c r="C82">
        <v>3</v>
      </c>
      <c r="D82">
        <v>2999000</v>
      </c>
      <c r="E82">
        <v>1925</v>
      </c>
      <c r="F82">
        <v>3200</v>
      </c>
      <c r="G82">
        <v>937</v>
      </c>
      <c r="H82">
        <v>12</v>
      </c>
    </row>
    <row r="83" spans="1:8" x14ac:dyDescent="0.2">
      <c r="A83" s="1">
        <v>0</v>
      </c>
      <c r="B83">
        <v>1</v>
      </c>
      <c r="C83">
        <v>1</v>
      </c>
      <c r="D83">
        <v>399000</v>
      </c>
      <c r="E83">
        <v>1910</v>
      </c>
      <c r="F83">
        <v>475</v>
      </c>
      <c r="G83">
        <v>840</v>
      </c>
      <c r="H83">
        <v>10</v>
      </c>
    </row>
    <row r="84" spans="1:8" x14ac:dyDescent="0.2">
      <c r="A84" s="1">
        <v>0</v>
      </c>
      <c r="B84">
        <v>1</v>
      </c>
      <c r="C84">
        <v>1</v>
      </c>
      <c r="D84">
        <v>1135000</v>
      </c>
      <c r="E84">
        <v>2005</v>
      </c>
      <c r="F84">
        <v>715</v>
      </c>
      <c r="G84">
        <v>1587</v>
      </c>
      <c r="H84">
        <v>10</v>
      </c>
    </row>
    <row r="85" spans="1:8" x14ac:dyDescent="0.2">
      <c r="A85" s="1">
        <v>0</v>
      </c>
      <c r="B85">
        <v>1</v>
      </c>
      <c r="C85">
        <v>1</v>
      </c>
      <c r="D85">
        <v>1145000</v>
      </c>
      <c r="E85">
        <v>2005</v>
      </c>
      <c r="F85">
        <v>700</v>
      </c>
      <c r="G85">
        <v>1636</v>
      </c>
      <c r="H85">
        <v>10</v>
      </c>
    </row>
    <row r="86" spans="1:8" x14ac:dyDescent="0.2">
      <c r="A86" s="1">
        <v>0</v>
      </c>
      <c r="B86">
        <v>1</v>
      </c>
      <c r="C86">
        <v>1</v>
      </c>
      <c r="D86">
        <v>1760000</v>
      </c>
      <c r="E86">
        <v>1969</v>
      </c>
      <c r="F86">
        <v>950</v>
      </c>
      <c r="G86">
        <v>1853</v>
      </c>
      <c r="H86">
        <v>10</v>
      </c>
    </row>
    <row r="87" spans="1:8" x14ac:dyDescent="0.2">
      <c r="A87" s="1">
        <v>0</v>
      </c>
      <c r="B87">
        <v>2</v>
      </c>
      <c r="C87">
        <v>2</v>
      </c>
      <c r="D87">
        <v>1725000</v>
      </c>
      <c r="E87">
        <v>2005</v>
      </c>
      <c r="F87">
        <v>976</v>
      </c>
      <c r="G87">
        <v>1767</v>
      </c>
      <c r="H87">
        <v>10</v>
      </c>
    </row>
    <row r="88" spans="1:8" x14ac:dyDescent="0.2">
      <c r="A88" s="1">
        <v>0</v>
      </c>
      <c r="B88">
        <v>2</v>
      </c>
      <c r="C88">
        <v>2</v>
      </c>
      <c r="D88">
        <v>2750000</v>
      </c>
      <c r="E88">
        <v>2007</v>
      </c>
      <c r="F88">
        <v>1384</v>
      </c>
      <c r="G88">
        <v>1987</v>
      </c>
      <c r="H88">
        <v>10</v>
      </c>
    </row>
    <row r="89" spans="1:8" x14ac:dyDescent="0.2">
      <c r="A89" s="1">
        <v>0</v>
      </c>
      <c r="B89">
        <v>2</v>
      </c>
      <c r="C89">
        <v>2</v>
      </c>
      <c r="D89">
        <v>2750000</v>
      </c>
      <c r="E89">
        <v>2007</v>
      </c>
      <c r="F89">
        <v>1384</v>
      </c>
      <c r="G89">
        <v>1987</v>
      </c>
      <c r="H89">
        <v>13</v>
      </c>
    </row>
    <row r="90" spans="1:8" x14ac:dyDescent="0.2">
      <c r="A90" s="1">
        <v>0</v>
      </c>
      <c r="B90">
        <v>1</v>
      </c>
      <c r="C90">
        <v>1</v>
      </c>
      <c r="D90">
        <v>399000</v>
      </c>
      <c r="E90">
        <v>1910</v>
      </c>
      <c r="F90">
        <v>475</v>
      </c>
      <c r="G90">
        <v>840</v>
      </c>
      <c r="H90">
        <v>14</v>
      </c>
    </row>
    <row r="91" spans="1:8" x14ac:dyDescent="0.2">
      <c r="A91" s="1">
        <v>0</v>
      </c>
      <c r="B91">
        <v>2</v>
      </c>
      <c r="C91">
        <v>2</v>
      </c>
      <c r="D91">
        <v>1725000</v>
      </c>
      <c r="E91">
        <v>2005</v>
      </c>
      <c r="F91">
        <v>1144</v>
      </c>
      <c r="G91">
        <v>1508</v>
      </c>
      <c r="H91">
        <v>16</v>
      </c>
    </row>
    <row r="92" spans="1:8" x14ac:dyDescent="0.2">
      <c r="A92" s="1">
        <v>0</v>
      </c>
      <c r="B92">
        <v>1</v>
      </c>
      <c r="C92">
        <v>1</v>
      </c>
      <c r="D92">
        <v>869000</v>
      </c>
      <c r="E92">
        <v>1988</v>
      </c>
      <c r="F92">
        <v>670</v>
      </c>
      <c r="G92">
        <v>1297</v>
      </c>
      <c r="H92">
        <v>16</v>
      </c>
    </row>
    <row r="93" spans="1:8" x14ac:dyDescent="0.2">
      <c r="A93" s="1">
        <v>0</v>
      </c>
      <c r="B93">
        <v>1</v>
      </c>
      <c r="C93">
        <v>1</v>
      </c>
      <c r="D93">
        <v>1760000</v>
      </c>
      <c r="E93">
        <v>1969</v>
      </c>
      <c r="F93">
        <v>950</v>
      </c>
      <c r="G93">
        <v>1853</v>
      </c>
      <c r="H93">
        <v>17</v>
      </c>
    </row>
    <row r="94" spans="1:8" x14ac:dyDescent="0.2">
      <c r="A94" s="1">
        <v>0</v>
      </c>
      <c r="B94">
        <v>3</v>
      </c>
      <c r="C94">
        <v>3</v>
      </c>
      <c r="D94">
        <v>1249000</v>
      </c>
      <c r="E94">
        <v>1962</v>
      </c>
      <c r="F94">
        <v>1500</v>
      </c>
      <c r="G94">
        <v>833</v>
      </c>
      <c r="H94">
        <v>18</v>
      </c>
    </row>
    <row r="95" spans="1:8" x14ac:dyDescent="0.2">
      <c r="A95" s="1">
        <v>0</v>
      </c>
      <c r="B95">
        <v>3</v>
      </c>
      <c r="C95">
        <v>3</v>
      </c>
      <c r="D95">
        <v>1500000</v>
      </c>
      <c r="E95">
        <v>1962</v>
      </c>
      <c r="F95">
        <v>1600</v>
      </c>
      <c r="G95">
        <v>938</v>
      </c>
      <c r="H95">
        <v>18</v>
      </c>
    </row>
    <row r="96" spans="1:8" x14ac:dyDescent="0.2">
      <c r="A96" s="1">
        <v>0</v>
      </c>
      <c r="B96">
        <v>1</v>
      </c>
      <c r="C96">
        <v>1</v>
      </c>
      <c r="D96">
        <v>1135000</v>
      </c>
      <c r="E96">
        <v>2005</v>
      </c>
      <c r="F96">
        <v>715</v>
      </c>
      <c r="G96">
        <v>1587</v>
      </c>
      <c r="H96">
        <v>19</v>
      </c>
    </row>
    <row r="97" spans="1:8" x14ac:dyDescent="0.2">
      <c r="A97" s="1">
        <v>0</v>
      </c>
      <c r="B97">
        <v>1</v>
      </c>
      <c r="C97">
        <v>1</v>
      </c>
      <c r="D97">
        <v>1145000</v>
      </c>
      <c r="E97">
        <v>2005</v>
      </c>
      <c r="F97">
        <v>700</v>
      </c>
      <c r="G97">
        <v>1636</v>
      </c>
      <c r="H97">
        <v>19</v>
      </c>
    </row>
    <row r="98" spans="1:8" x14ac:dyDescent="0.2">
      <c r="A98" s="1">
        <v>0</v>
      </c>
      <c r="B98">
        <v>2</v>
      </c>
      <c r="C98">
        <v>2</v>
      </c>
      <c r="D98">
        <v>1725000</v>
      </c>
      <c r="E98">
        <v>2005</v>
      </c>
      <c r="F98">
        <v>976</v>
      </c>
      <c r="G98">
        <v>1767</v>
      </c>
      <c r="H98">
        <v>19</v>
      </c>
    </row>
    <row r="99" spans="1:8" x14ac:dyDescent="0.2">
      <c r="A99" s="1">
        <v>0</v>
      </c>
      <c r="B99">
        <v>2</v>
      </c>
      <c r="C99">
        <v>2</v>
      </c>
      <c r="D99">
        <v>3500000</v>
      </c>
      <c r="E99">
        <v>1925</v>
      </c>
      <c r="F99">
        <v>1550</v>
      </c>
      <c r="G99">
        <v>2258</v>
      </c>
      <c r="H99">
        <v>20</v>
      </c>
    </row>
    <row r="100" spans="1:8" x14ac:dyDescent="0.2">
      <c r="A100" s="1">
        <v>0</v>
      </c>
      <c r="B100">
        <v>0</v>
      </c>
      <c r="C100">
        <v>1</v>
      </c>
      <c r="D100">
        <v>525000</v>
      </c>
      <c r="E100">
        <v>1940</v>
      </c>
      <c r="F100">
        <v>525</v>
      </c>
      <c r="G100">
        <v>1000</v>
      </c>
      <c r="H100">
        <v>21</v>
      </c>
    </row>
    <row r="101" spans="1:8" x14ac:dyDescent="0.2">
      <c r="A101" s="1">
        <v>0</v>
      </c>
      <c r="B101">
        <v>2</v>
      </c>
      <c r="C101">
        <v>2</v>
      </c>
      <c r="D101">
        <v>2025000</v>
      </c>
      <c r="E101">
        <v>1940</v>
      </c>
      <c r="F101">
        <v>1433</v>
      </c>
      <c r="G101">
        <v>1413</v>
      </c>
      <c r="H101">
        <v>21</v>
      </c>
    </row>
    <row r="102" spans="1:8" x14ac:dyDescent="0.2">
      <c r="A102" s="1">
        <v>0</v>
      </c>
      <c r="B102">
        <v>2</v>
      </c>
      <c r="C102">
        <v>2</v>
      </c>
      <c r="D102">
        <v>3500000</v>
      </c>
      <c r="E102">
        <v>1986</v>
      </c>
      <c r="F102">
        <v>1463</v>
      </c>
      <c r="G102">
        <v>2392</v>
      </c>
      <c r="H102">
        <v>23</v>
      </c>
    </row>
    <row r="103" spans="1:8" x14ac:dyDescent="0.2">
      <c r="A103" s="1">
        <v>0</v>
      </c>
      <c r="B103">
        <v>0</v>
      </c>
      <c r="C103">
        <v>1</v>
      </c>
      <c r="D103">
        <v>925000</v>
      </c>
      <c r="E103">
        <v>1978</v>
      </c>
      <c r="F103">
        <v>585</v>
      </c>
      <c r="G103">
        <v>1581</v>
      </c>
      <c r="H103">
        <v>24</v>
      </c>
    </row>
    <row r="104" spans="1:8" x14ac:dyDescent="0.2">
      <c r="A104" s="1">
        <v>0</v>
      </c>
      <c r="B104">
        <v>2</v>
      </c>
      <c r="C104">
        <v>2</v>
      </c>
      <c r="D104">
        <v>1700000</v>
      </c>
      <c r="E104">
        <v>1982</v>
      </c>
      <c r="F104">
        <v>1007</v>
      </c>
      <c r="G104">
        <v>1688</v>
      </c>
      <c r="H104">
        <v>25</v>
      </c>
    </row>
    <row r="105" spans="1:8" x14ac:dyDescent="0.2">
      <c r="A105" s="1">
        <v>0</v>
      </c>
      <c r="B105">
        <v>2</v>
      </c>
      <c r="C105">
        <v>2</v>
      </c>
      <c r="D105">
        <v>1700000</v>
      </c>
      <c r="E105">
        <v>1982</v>
      </c>
      <c r="F105">
        <v>1007</v>
      </c>
      <c r="G105">
        <v>1688</v>
      </c>
      <c r="H105">
        <v>25</v>
      </c>
    </row>
    <row r="106" spans="1:8" x14ac:dyDescent="0.2">
      <c r="A106" s="1">
        <v>0</v>
      </c>
      <c r="B106">
        <v>0</v>
      </c>
      <c r="C106">
        <v>1</v>
      </c>
      <c r="D106">
        <v>449000</v>
      </c>
      <c r="E106">
        <v>1962</v>
      </c>
      <c r="F106">
        <v>550</v>
      </c>
      <c r="G106">
        <v>816</v>
      </c>
      <c r="H106">
        <v>10</v>
      </c>
    </row>
    <row r="107" spans="1:8" x14ac:dyDescent="0.2">
      <c r="A107" s="1">
        <v>0</v>
      </c>
      <c r="B107">
        <v>0</v>
      </c>
      <c r="C107">
        <v>1</v>
      </c>
      <c r="D107">
        <v>299000</v>
      </c>
      <c r="E107">
        <v>1930</v>
      </c>
      <c r="F107">
        <v>400</v>
      </c>
      <c r="G107">
        <v>748</v>
      </c>
      <c r="H107">
        <v>12</v>
      </c>
    </row>
    <row r="108" spans="1:8" x14ac:dyDescent="0.2">
      <c r="A108" s="1">
        <v>0</v>
      </c>
      <c r="B108">
        <v>1</v>
      </c>
      <c r="C108">
        <v>1</v>
      </c>
      <c r="D108">
        <v>695000</v>
      </c>
      <c r="E108">
        <v>1961</v>
      </c>
      <c r="F108">
        <v>720</v>
      </c>
      <c r="G108">
        <v>965</v>
      </c>
      <c r="H108">
        <v>16</v>
      </c>
    </row>
    <row r="109" spans="1:8" x14ac:dyDescent="0.2">
      <c r="A109" s="1">
        <v>0</v>
      </c>
      <c r="B109">
        <v>1</v>
      </c>
      <c r="C109">
        <v>1</v>
      </c>
      <c r="D109">
        <v>695000</v>
      </c>
      <c r="E109">
        <v>1961</v>
      </c>
      <c r="F109">
        <v>720</v>
      </c>
      <c r="G109">
        <v>965</v>
      </c>
      <c r="H109">
        <v>16</v>
      </c>
    </row>
    <row r="110" spans="1:8" x14ac:dyDescent="0.2">
      <c r="A110" s="1">
        <v>0</v>
      </c>
      <c r="B110">
        <v>4</v>
      </c>
      <c r="C110">
        <v>5</v>
      </c>
      <c r="D110">
        <v>17750000</v>
      </c>
      <c r="E110">
        <v>2012</v>
      </c>
      <c r="F110">
        <v>4476</v>
      </c>
      <c r="G110">
        <v>3966</v>
      </c>
      <c r="H110">
        <v>20</v>
      </c>
    </row>
    <row r="111" spans="1:8" x14ac:dyDescent="0.2">
      <c r="A111" s="1">
        <v>0</v>
      </c>
      <c r="B111">
        <v>5</v>
      </c>
      <c r="C111">
        <v>5</v>
      </c>
      <c r="D111">
        <v>27500000</v>
      </c>
      <c r="E111">
        <v>1930</v>
      </c>
      <c r="F111">
        <v>7500</v>
      </c>
      <c r="G111">
        <v>3667</v>
      </c>
      <c r="H111">
        <v>21</v>
      </c>
    </row>
    <row r="112" spans="1:8" x14ac:dyDescent="0.2">
      <c r="A112" s="1">
        <v>0</v>
      </c>
      <c r="B112">
        <v>0</v>
      </c>
      <c r="C112">
        <v>1</v>
      </c>
      <c r="D112">
        <v>539000</v>
      </c>
      <c r="E112">
        <v>1957</v>
      </c>
      <c r="F112">
        <v>485</v>
      </c>
      <c r="G112">
        <v>1111</v>
      </c>
      <c r="H112">
        <v>10</v>
      </c>
    </row>
    <row r="113" spans="1:8" x14ac:dyDescent="0.2">
      <c r="A113" s="1">
        <v>0</v>
      </c>
      <c r="B113">
        <v>0</v>
      </c>
      <c r="C113">
        <v>1</v>
      </c>
      <c r="D113">
        <v>779000</v>
      </c>
      <c r="E113">
        <v>1975</v>
      </c>
      <c r="F113">
        <v>512</v>
      </c>
      <c r="G113">
        <v>1521</v>
      </c>
      <c r="H113">
        <v>10</v>
      </c>
    </row>
    <row r="114" spans="1:8" x14ac:dyDescent="0.2">
      <c r="A114" s="1">
        <v>0</v>
      </c>
      <c r="B114">
        <v>1</v>
      </c>
      <c r="C114">
        <v>1</v>
      </c>
      <c r="D114">
        <v>925000</v>
      </c>
      <c r="E114">
        <v>1985</v>
      </c>
      <c r="F114">
        <v>745</v>
      </c>
      <c r="G114">
        <v>1242</v>
      </c>
      <c r="H114">
        <v>10</v>
      </c>
    </row>
    <row r="115" spans="1:8" x14ac:dyDescent="0.2">
      <c r="A115" s="1">
        <v>0</v>
      </c>
      <c r="B115">
        <v>1</v>
      </c>
      <c r="C115">
        <v>1</v>
      </c>
      <c r="D115">
        <v>1319000</v>
      </c>
      <c r="E115">
        <v>1958</v>
      </c>
      <c r="F115">
        <v>1000</v>
      </c>
      <c r="G115">
        <v>1319</v>
      </c>
      <c r="H115">
        <v>10</v>
      </c>
    </row>
    <row r="116" spans="1:8" x14ac:dyDescent="0.2">
      <c r="A116" s="1">
        <v>0</v>
      </c>
      <c r="B116">
        <v>2</v>
      </c>
      <c r="C116">
        <v>2</v>
      </c>
      <c r="D116">
        <v>4240000</v>
      </c>
      <c r="E116">
        <v>2016</v>
      </c>
      <c r="F116">
        <v>1741</v>
      </c>
      <c r="G116">
        <v>2435</v>
      </c>
      <c r="H116">
        <v>10</v>
      </c>
    </row>
    <row r="117" spans="1:8" x14ac:dyDescent="0.2">
      <c r="A117" s="1">
        <v>0</v>
      </c>
      <c r="B117">
        <v>2</v>
      </c>
      <c r="C117">
        <v>2</v>
      </c>
      <c r="D117">
        <v>4285000</v>
      </c>
      <c r="E117">
        <v>2016</v>
      </c>
      <c r="F117">
        <v>1747</v>
      </c>
      <c r="G117">
        <v>2453</v>
      </c>
      <c r="H117">
        <v>10</v>
      </c>
    </row>
    <row r="118" spans="1:8" x14ac:dyDescent="0.2">
      <c r="A118" s="1">
        <v>0</v>
      </c>
      <c r="B118">
        <v>3</v>
      </c>
      <c r="C118">
        <v>3</v>
      </c>
      <c r="D118">
        <v>4875000</v>
      </c>
      <c r="E118">
        <v>2016</v>
      </c>
      <c r="F118">
        <v>2017</v>
      </c>
      <c r="G118">
        <v>2417</v>
      </c>
      <c r="H118">
        <v>10</v>
      </c>
    </row>
    <row r="119" spans="1:8" x14ac:dyDescent="0.2">
      <c r="A119" s="1">
        <v>0</v>
      </c>
      <c r="B119">
        <v>3</v>
      </c>
      <c r="C119">
        <v>3</v>
      </c>
      <c r="D119">
        <v>14950000</v>
      </c>
      <c r="E119">
        <v>1931</v>
      </c>
      <c r="F119">
        <v>4435</v>
      </c>
      <c r="G119">
        <v>3371</v>
      </c>
      <c r="H119">
        <v>10</v>
      </c>
    </row>
    <row r="120" spans="1:8" x14ac:dyDescent="0.2">
      <c r="A120" s="1">
        <v>0</v>
      </c>
      <c r="B120">
        <v>3</v>
      </c>
      <c r="C120">
        <v>3</v>
      </c>
      <c r="D120">
        <v>10225000</v>
      </c>
      <c r="E120">
        <v>2016</v>
      </c>
      <c r="F120">
        <v>3007</v>
      </c>
      <c r="G120">
        <v>3400</v>
      </c>
      <c r="H120">
        <v>10</v>
      </c>
    </row>
    <row r="121" spans="1:8" x14ac:dyDescent="0.2">
      <c r="A121" s="1">
        <v>0</v>
      </c>
      <c r="B121">
        <v>4</v>
      </c>
      <c r="C121">
        <v>4</v>
      </c>
      <c r="D121">
        <v>13400000</v>
      </c>
      <c r="E121">
        <v>2016</v>
      </c>
      <c r="F121">
        <v>3331</v>
      </c>
      <c r="G121">
        <v>4023</v>
      </c>
      <c r="H121">
        <v>10</v>
      </c>
    </row>
    <row r="122" spans="1:8" x14ac:dyDescent="0.2">
      <c r="A122" s="1">
        <v>0</v>
      </c>
      <c r="B122">
        <v>5</v>
      </c>
      <c r="C122">
        <v>5</v>
      </c>
      <c r="D122">
        <v>19000000</v>
      </c>
      <c r="E122">
        <v>2016</v>
      </c>
      <c r="F122">
        <v>4972</v>
      </c>
      <c r="G122">
        <v>3821</v>
      </c>
      <c r="H122">
        <v>10</v>
      </c>
    </row>
    <row r="123" spans="1:8" x14ac:dyDescent="0.2">
      <c r="A123" s="1">
        <v>0</v>
      </c>
      <c r="B123">
        <v>0</v>
      </c>
      <c r="C123">
        <v>1</v>
      </c>
      <c r="D123">
        <v>539000</v>
      </c>
      <c r="E123">
        <v>1957</v>
      </c>
      <c r="F123">
        <v>485</v>
      </c>
      <c r="G123">
        <v>1111</v>
      </c>
      <c r="H123">
        <v>11</v>
      </c>
    </row>
    <row r="124" spans="1:8" x14ac:dyDescent="0.2">
      <c r="A124" s="1">
        <v>0</v>
      </c>
      <c r="B124">
        <v>1</v>
      </c>
      <c r="C124">
        <v>1</v>
      </c>
      <c r="D124">
        <v>835000</v>
      </c>
      <c r="E124">
        <v>1963</v>
      </c>
      <c r="F124">
        <v>700</v>
      </c>
      <c r="G124">
        <v>1193</v>
      </c>
      <c r="H124">
        <v>12</v>
      </c>
    </row>
    <row r="125" spans="1:8" x14ac:dyDescent="0.2">
      <c r="A125" s="1">
        <v>0</v>
      </c>
      <c r="B125">
        <v>10</v>
      </c>
      <c r="C125">
        <v>10</v>
      </c>
      <c r="D125">
        <v>7995000</v>
      </c>
      <c r="E125">
        <v>1910</v>
      </c>
      <c r="F125">
        <v>6400</v>
      </c>
      <c r="G125">
        <v>1249</v>
      </c>
      <c r="H125">
        <v>12</v>
      </c>
    </row>
    <row r="126" spans="1:8" x14ac:dyDescent="0.2">
      <c r="A126" s="1">
        <v>0</v>
      </c>
      <c r="B126">
        <v>0</v>
      </c>
      <c r="C126">
        <v>1</v>
      </c>
      <c r="D126">
        <v>349000</v>
      </c>
      <c r="E126">
        <v>1960</v>
      </c>
      <c r="F126">
        <v>400</v>
      </c>
      <c r="G126">
        <v>873</v>
      </c>
      <c r="H126">
        <v>13</v>
      </c>
    </row>
    <row r="127" spans="1:8" x14ac:dyDescent="0.2">
      <c r="A127" s="1">
        <v>0</v>
      </c>
      <c r="B127">
        <v>1</v>
      </c>
      <c r="C127">
        <v>1</v>
      </c>
      <c r="D127">
        <v>588000</v>
      </c>
      <c r="E127">
        <v>1970</v>
      </c>
      <c r="F127">
        <v>600</v>
      </c>
      <c r="G127">
        <v>980</v>
      </c>
      <c r="H127">
        <v>14</v>
      </c>
    </row>
    <row r="128" spans="1:8" x14ac:dyDescent="0.2">
      <c r="A128" s="1">
        <v>0</v>
      </c>
      <c r="B128">
        <v>2</v>
      </c>
      <c r="C128">
        <v>2</v>
      </c>
      <c r="D128">
        <v>8690000</v>
      </c>
      <c r="E128">
        <v>2002</v>
      </c>
      <c r="F128">
        <v>2178</v>
      </c>
      <c r="G128">
        <v>3990</v>
      </c>
      <c r="H128">
        <v>15</v>
      </c>
    </row>
    <row r="129" spans="1:8" x14ac:dyDescent="0.2">
      <c r="A129" s="1">
        <v>0</v>
      </c>
      <c r="B129">
        <v>2</v>
      </c>
      <c r="C129">
        <v>2</v>
      </c>
      <c r="D129">
        <v>4195000</v>
      </c>
      <c r="E129">
        <v>2016</v>
      </c>
      <c r="F129">
        <v>1750</v>
      </c>
      <c r="G129">
        <v>2397</v>
      </c>
      <c r="H129">
        <v>15</v>
      </c>
    </row>
    <row r="130" spans="1:8" x14ac:dyDescent="0.2">
      <c r="A130" s="1">
        <v>0</v>
      </c>
      <c r="B130">
        <v>2</v>
      </c>
      <c r="C130">
        <v>2</v>
      </c>
      <c r="D130">
        <v>4195000</v>
      </c>
      <c r="E130">
        <v>2016</v>
      </c>
      <c r="F130">
        <v>1742</v>
      </c>
      <c r="G130">
        <v>2408</v>
      </c>
      <c r="H130">
        <v>15</v>
      </c>
    </row>
    <row r="131" spans="1:8" x14ac:dyDescent="0.2">
      <c r="A131" s="1">
        <v>0</v>
      </c>
      <c r="B131">
        <v>2</v>
      </c>
      <c r="C131">
        <v>2</v>
      </c>
      <c r="D131">
        <v>4240000</v>
      </c>
      <c r="E131">
        <v>2016</v>
      </c>
      <c r="F131">
        <v>1741</v>
      </c>
      <c r="G131">
        <v>2435</v>
      </c>
      <c r="H131">
        <v>15</v>
      </c>
    </row>
    <row r="132" spans="1:8" x14ac:dyDescent="0.2">
      <c r="A132" s="1">
        <v>0</v>
      </c>
      <c r="B132">
        <v>2</v>
      </c>
      <c r="C132">
        <v>2</v>
      </c>
      <c r="D132">
        <v>4285000</v>
      </c>
      <c r="E132">
        <v>2016</v>
      </c>
      <c r="F132">
        <v>1747</v>
      </c>
      <c r="G132">
        <v>2453</v>
      </c>
      <c r="H132">
        <v>15</v>
      </c>
    </row>
    <row r="133" spans="1:8" x14ac:dyDescent="0.2">
      <c r="A133" s="1">
        <v>0</v>
      </c>
      <c r="B133">
        <v>3</v>
      </c>
      <c r="C133">
        <v>3</v>
      </c>
      <c r="D133">
        <v>4875000</v>
      </c>
      <c r="E133">
        <v>2016</v>
      </c>
      <c r="F133">
        <v>2017</v>
      </c>
      <c r="G133">
        <v>2417</v>
      </c>
      <c r="H133">
        <v>15</v>
      </c>
    </row>
    <row r="134" spans="1:8" x14ac:dyDescent="0.2">
      <c r="A134" s="1">
        <v>0</v>
      </c>
      <c r="B134">
        <v>3</v>
      </c>
      <c r="C134">
        <v>3</v>
      </c>
      <c r="D134">
        <v>5750000</v>
      </c>
      <c r="E134">
        <v>2016</v>
      </c>
      <c r="F134">
        <v>2196</v>
      </c>
      <c r="G134">
        <v>2618</v>
      </c>
      <c r="H134">
        <v>15</v>
      </c>
    </row>
    <row r="135" spans="1:8" x14ac:dyDescent="0.2">
      <c r="A135" s="1">
        <v>0</v>
      </c>
      <c r="B135">
        <v>3</v>
      </c>
      <c r="C135">
        <v>3</v>
      </c>
      <c r="D135">
        <v>9350000</v>
      </c>
      <c r="E135">
        <v>2016</v>
      </c>
      <c r="F135">
        <v>3054</v>
      </c>
      <c r="G135">
        <v>3062</v>
      </c>
      <c r="H135">
        <v>15</v>
      </c>
    </row>
    <row r="136" spans="1:8" x14ac:dyDescent="0.2">
      <c r="A136" s="1">
        <v>0</v>
      </c>
      <c r="B136">
        <v>3</v>
      </c>
      <c r="C136">
        <v>3</v>
      </c>
      <c r="D136">
        <v>10225000</v>
      </c>
      <c r="E136">
        <v>2016</v>
      </c>
      <c r="F136">
        <v>3007</v>
      </c>
      <c r="G136">
        <v>3400</v>
      </c>
      <c r="H136">
        <v>15</v>
      </c>
    </row>
    <row r="137" spans="1:8" x14ac:dyDescent="0.2">
      <c r="A137" s="1">
        <v>0</v>
      </c>
      <c r="B137">
        <v>4</v>
      </c>
      <c r="C137">
        <v>4</v>
      </c>
      <c r="D137">
        <v>13150000</v>
      </c>
      <c r="E137">
        <v>2016</v>
      </c>
      <c r="F137">
        <v>3338</v>
      </c>
      <c r="G137">
        <v>3939</v>
      </c>
      <c r="H137">
        <v>15</v>
      </c>
    </row>
    <row r="138" spans="1:8" x14ac:dyDescent="0.2">
      <c r="A138" s="1">
        <v>0</v>
      </c>
      <c r="B138">
        <v>4</v>
      </c>
      <c r="C138">
        <v>4</v>
      </c>
      <c r="D138">
        <v>13400000</v>
      </c>
      <c r="E138">
        <v>2016</v>
      </c>
      <c r="F138">
        <v>3331</v>
      </c>
      <c r="G138">
        <v>4023</v>
      </c>
      <c r="H138">
        <v>15</v>
      </c>
    </row>
    <row r="139" spans="1:8" x14ac:dyDescent="0.2">
      <c r="A139" s="1">
        <v>0</v>
      </c>
      <c r="B139">
        <v>5</v>
      </c>
      <c r="C139">
        <v>5</v>
      </c>
      <c r="D139">
        <v>19000000</v>
      </c>
      <c r="E139">
        <v>2016</v>
      </c>
      <c r="F139">
        <v>4972</v>
      </c>
      <c r="G139">
        <v>3821</v>
      </c>
      <c r="H139">
        <v>15</v>
      </c>
    </row>
    <row r="140" spans="1:8" x14ac:dyDescent="0.2">
      <c r="A140" s="1">
        <v>0</v>
      </c>
      <c r="B140">
        <v>0</v>
      </c>
      <c r="C140">
        <v>1</v>
      </c>
      <c r="D140">
        <v>850000</v>
      </c>
      <c r="E140">
        <v>1924</v>
      </c>
      <c r="F140">
        <v>546</v>
      </c>
      <c r="G140">
        <v>1557</v>
      </c>
      <c r="H140">
        <v>10</v>
      </c>
    </row>
    <row r="141" spans="1:8" x14ac:dyDescent="0.2">
      <c r="A141" s="1">
        <v>0</v>
      </c>
      <c r="B141">
        <v>7</v>
      </c>
      <c r="C141">
        <v>7</v>
      </c>
      <c r="D141">
        <v>19500000</v>
      </c>
      <c r="E141">
        <v>1994</v>
      </c>
      <c r="F141">
        <v>4238</v>
      </c>
      <c r="G141">
        <v>4601</v>
      </c>
      <c r="H141">
        <v>10</v>
      </c>
    </row>
    <row r="142" spans="1:8" x14ac:dyDescent="0.2">
      <c r="A142" s="1">
        <v>0</v>
      </c>
      <c r="B142">
        <v>1</v>
      </c>
      <c r="C142">
        <v>1</v>
      </c>
      <c r="D142">
        <v>1000000</v>
      </c>
      <c r="E142">
        <v>1912</v>
      </c>
      <c r="F142">
        <v>612</v>
      </c>
      <c r="G142">
        <v>1634</v>
      </c>
      <c r="H142">
        <v>18</v>
      </c>
    </row>
    <row r="143" spans="1:8" x14ac:dyDescent="0.2">
      <c r="A143" s="1">
        <v>0</v>
      </c>
      <c r="B143">
        <v>0</v>
      </c>
      <c r="C143">
        <v>1</v>
      </c>
      <c r="D143">
        <v>485000</v>
      </c>
      <c r="E143">
        <v>1902</v>
      </c>
      <c r="F143">
        <v>310</v>
      </c>
      <c r="G143">
        <v>1565</v>
      </c>
      <c r="H143">
        <v>23</v>
      </c>
    </row>
    <row r="144" spans="1:8" x14ac:dyDescent="0.2">
      <c r="A144" s="1">
        <v>0</v>
      </c>
      <c r="B144">
        <v>3</v>
      </c>
      <c r="C144">
        <v>2</v>
      </c>
      <c r="D144">
        <v>7350000</v>
      </c>
      <c r="E144">
        <v>1999</v>
      </c>
      <c r="F144">
        <v>2075</v>
      </c>
      <c r="G144">
        <v>3542</v>
      </c>
      <c r="H144">
        <v>23</v>
      </c>
    </row>
    <row r="145" spans="1:8" x14ac:dyDescent="0.2">
      <c r="A145" s="1">
        <v>0</v>
      </c>
      <c r="B145">
        <v>1</v>
      </c>
      <c r="C145">
        <v>1</v>
      </c>
      <c r="D145">
        <v>1200000</v>
      </c>
      <c r="E145">
        <v>1969</v>
      </c>
      <c r="F145">
        <v>600</v>
      </c>
      <c r="G145">
        <v>2000</v>
      </c>
      <c r="H145">
        <v>23</v>
      </c>
    </row>
    <row r="146" spans="1:8" x14ac:dyDescent="0.2">
      <c r="A146" s="1">
        <v>0</v>
      </c>
      <c r="B146">
        <v>2</v>
      </c>
      <c r="C146">
        <v>2</v>
      </c>
      <c r="D146">
        <v>4250000</v>
      </c>
      <c r="E146">
        <v>2011</v>
      </c>
      <c r="F146">
        <v>1504</v>
      </c>
      <c r="G146">
        <v>2826</v>
      </c>
      <c r="H146">
        <v>23</v>
      </c>
    </row>
    <row r="147" spans="1:8" x14ac:dyDescent="0.2">
      <c r="A147" s="1">
        <v>0</v>
      </c>
      <c r="B147">
        <v>2</v>
      </c>
      <c r="C147">
        <v>2</v>
      </c>
      <c r="D147">
        <v>3600000</v>
      </c>
      <c r="E147">
        <v>1960</v>
      </c>
      <c r="F147">
        <v>1340</v>
      </c>
      <c r="G147">
        <v>2687</v>
      </c>
      <c r="H147">
        <v>24</v>
      </c>
    </row>
    <row r="148" spans="1:8" x14ac:dyDescent="0.2">
      <c r="A148" s="1">
        <v>0</v>
      </c>
      <c r="B148">
        <v>2</v>
      </c>
      <c r="C148">
        <v>2</v>
      </c>
      <c r="D148">
        <v>3600000</v>
      </c>
      <c r="E148">
        <v>1960</v>
      </c>
      <c r="F148">
        <v>1340</v>
      </c>
      <c r="G148">
        <v>2687</v>
      </c>
      <c r="H148">
        <v>24</v>
      </c>
    </row>
    <row r="149" spans="1:8" x14ac:dyDescent="0.2">
      <c r="A149" s="1">
        <v>0</v>
      </c>
      <c r="B149">
        <v>1</v>
      </c>
      <c r="C149">
        <v>1</v>
      </c>
      <c r="D149">
        <v>525000</v>
      </c>
      <c r="E149">
        <v>1924</v>
      </c>
      <c r="F149">
        <v>700</v>
      </c>
      <c r="G149">
        <v>750</v>
      </c>
      <c r="H149">
        <v>24</v>
      </c>
    </row>
    <row r="150" spans="1:8" x14ac:dyDescent="0.2">
      <c r="A150" s="1">
        <v>0</v>
      </c>
      <c r="B150">
        <v>0</v>
      </c>
      <c r="C150">
        <v>1</v>
      </c>
      <c r="D150">
        <v>545000</v>
      </c>
      <c r="E150">
        <v>1900</v>
      </c>
      <c r="F150">
        <v>387</v>
      </c>
      <c r="G150">
        <v>1408</v>
      </c>
      <c r="H150">
        <v>10</v>
      </c>
    </row>
    <row r="151" spans="1:8" x14ac:dyDescent="0.2">
      <c r="A151" s="1">
        <v>0</v>
      </c>
      <c r="B151">
        <v>1</v>
      </c>
      <c r="C151">
        <v>1</v>
      </c>
      <c r="D151">
        <v>535000</v>
      </c>
      <c r="E151">
        <v>1900</v>
      </c>
      <c r="F151">
        <v>450</v>
      </c>
      <c r="G151">
        <v>1189</v>
      </c>
      <c r="H151">
        <v>10</v>
      </c>
    </row>
    <row r="152" spans="1:8" x14ac:dyDescent="0.2">
      <c r="A152" s="1">
        <v>0</v>
      </c>
      <c r="B152">
        <v>4</v>
      </c>
      <c r="C152">
        <v>4</v>
      </c>
      <c r="D152">
        <v>5500000</v>
      </c>
      <c r="E152">
        <v>1923</v>
      </c>
      <c r="F152">
        <v>3200</v>
      </c>
      <c r="G152">
        <v>1719</v>
      </c>
      <c r="H152">
        <v>21</v>
      </c>
    </row>
    <row r="153" spans="1:8" x14ac:dyDescent="0.2">
      <c r="A153" s="1">
        <v>0</v>
      </c>
      <c r="B153">
        <v>4</v>
      </c>
      <c r="C153">
        <v>5</v>
      </c>
      <c r="D153">
        <v>12000000</v>
      </c>
      <c r="E153">
        <v>1939</v>
      </c>
      <c r="F153">
        <v>3700</v>
      </c>
      <c r="G153">
        <v>3243</v>
      </c>
      <c r="H153">
        <v>22</v>
      </c>
    </row>
    <row r="154" spans="1:8" x14ac:dyDescent="0.2">
      <c r="A154" s="1">
        <v>0</v>
      </c>
      <c r="B154">
        <v>1</v>
      </c>
      <c r="C154">
        <v>2</v>
      </c>
      <c r="D154">
        <v>1850000</v>
      </c>
      <c r="E154">
        <v>2007</v>
      </c>
      <c r="F154">
        <v>839</v>
      </c>
      <c r="G154">
        <v>2205</v>
      </c>
      <c r="H154">
        <v>23</v>
      </c>
    </row>
    <row r="155" spans="1:8" x14ac:dyDescent="0.2">
      <c r="A155" s="1">
        <v>0</v>
      </c>
      <c r="B155">
        <v>1</v>
      </c>
      <c r="C155">
        <v>1</v>
      </c>
      <c r="D155">
        <v>535000</v>
      </c>
      <c r="E155">
        <v>1900</v>
      </c>
      <c r="F155">
        <v>450</v>
      </c>
      <c r="G155">
        <v>1189</v>
      </c>
      <c r="H155">
        <v>27</v>
      </c>
    </row>
    <row r="156" spans="1:8" x14ac:dyDescent="0.2">
      <c r="A156" s="1">
        <v>0</v>
      </c>
      <c r="B156">
        <v>2</v>
      </c>
      <c r="C156">
        <v>2</v>
      </c>
      <c r="D156">
        <v>1350000</v>
      </c>
      <c r="E156">
        <v>1931</v>
      </c>
      <c r="F156">
        <v>1300</v>
      </c>
      <c r="G156">
        <v>1038</v>
      </c>
      <c r="H156">
        <v>36</v>
      </c>
    </row>
    <row r="157" spans="1:8" x14ac:dyDescent="0.2">
      <c r="A157" s="1">
        <v>0</v>
      </c>
      <c r="B157">
        <v>1</v>
      </c>
      <c r="C157">
        <v>1</v>
      </c>
      <c r="D157">
        <v>779000</v>
      </c>
      <c r="E157">
        <v>1902</v>
      </c>
      <c r="F157">
        <v>700</v>
      </c>
      <c r="G157">
        <v>1113</v>
      </c>
      <c r="H157">
        <v>10</v>
      </c>
    </row>
    <row r="158" spans="1:8" x14ac:dyDescent="0.2">
      <c r="A158" s="1">
        <v>0</v>
      </c>
      <c r="B158">
        <v>2</v>
      </c>
      <c r="C158">
        <v>1</v>
      </c>
      <c r="D158">
        <v>1475000</v>
      </c>
      <c r="E158">
        <v>1973</v>
      </c>
      <c r="F158">
        <v>971</v>
      </c>
      <c r="G158">
        <v>1519</v>
      </c>
      <c r="H158">
        <v>10</v>
      </c>
    </row>
    <row r="159" spans="1:8" x14ac:dyDescent="0.2">
      <c r="A159" s="1">
        <v>0</v>
      </c>
      <c r="B159">
        <v>2</v>
      </c>
      <c r="C159">
        <v>2</v>
      </c>
      <c r="D159">
        <v>1385000</v>
      </c>
      <c r="E159">
        <v>1971</v>
      </c>
      <c r="F159">
        <v>962</v>
      </c>
      <c r="G159">
        <v>1440</v>
      </c>
      <c r="H159">
        <v>10</v>
      </c>
    </row>
    <row r="160" spans="1:8" x14ac:dyDescent="0.2">
      <c r="A160" s="1">
        <v>0</v>
      </c>
      <c r="B160">
        <v>1</v>
      </c>
      <c r="C160">
        <v>1</v>
      </c>
      <c r="D160">
        <v>779000</v>
      </c>
      <c r="E160">
        <v>1902</v>
      </c>
      <c r="F160">
        <v>700</v>
      </c>
      <c r="G160">
        <v>1113</v>
      </c>
      <c r="H160">
        <v>13</v>
      </c>
    </row>
    <row r="161" spans="1:8" x14ac:dyDescent="0.2">
      <c r="A161" s="1">
        <v>0</v>
      </c>
      <c r="B161">
        <v>1</v>
      </c>
      <c r="C161">
        <v>1</v>
      </c>
      <c r="D161">
        <v>649000</v>
      </c>
      <c r="E161">
        <v>1929</v>
      </c>
      <c r="F161">
        <v>800</v>
      </c>
      <c r="G161">
        <v>811</v>
      </c>
      <c r="H161">
        <v>25</v>
      </c>
    </row>
    <row r="162" spans="1:8" x14ac:dyDescent="0.2">
      <c r="A162" s="1">
        <v>0</v>
      </c>
      <c r="B162">
        <v>0</v>
      </c>
      <c r="C162">
        <v>1</v>
      </c>
      <c r="D162">
        <v>725000</v>
      </c>
      <c r="E162">
        <v>1960</v>
      </c>
      <c r="F162">
        <v>600</v>
      </c>
      <c r="G162">
        <v>1208</v>
      </c>
      <c r="H162">
        <v>26</v>
      </c>
    </row>
    <row r="163" spans="1:8" x14ac:dyDescent="0.2">
      <c r="A163" s="1">
        <v>0</v>
      </c>
      <c r="B163">
        <v>2</v>
      </c>
      <c r="C163">
        <v>1</v>
      </c>
      <c r="D163">
        <v>925000</v>
      </c>
      <c r="E163">
        <v>1941</v>
      </c>
      <c r="F163">
        <v>790</v>
      </c>
      <c r="G163">
        <v>1171</v>
      </c>
      <c r="H163">
        <v>27</v>
      </c>
    </row>
    <row r="164" spans="1:8" x14ac:dyDescent="0.2">
      <c r="A164" s="1">
        <v>0</v>
      </c>
      <c r="B164">
        <v>1</v>
      </c>
      <c r="C164">
        <v>1</v>
      </c>
      <c r="D164">
        <v>965000</v>
      </c>
      <c r="E164">
        <v>1961</v>
      </c>
      <c r="F164">
        <v>787</v>
      </c>
      <c r="G164">
        <v>1226</v>
      </c>
      <c r="H164">
        <v>27</v>
      </c>
    </row>
    <row r="165" spans="1:8" x14ac:dyDescent="0.2">
      <c r="A165" s="1">
        <v>0</v>
      </c>
      <c r="B165">
        <v>2</v>
      </c>
      <c r="C165">
        <v>1</v>
      </c>
      <c r="D165">
        <v>1250000</v>
      </c>
      <c r="E165">
        <v>1922</v>
      </c>
      <c r="F165">
        <v>1145</v>
      </c>
      <c r="G165">
        <v>1092</v>
      </c>
      <c r="H165">
        <v>30</v>
      </c>
    </row>
    <row r="166" spans="1:8" x14ac:dyDescent="0.2">
      <c r="A166" s="1">
        <v>0</v>
      </c>
      <c r="B166">
        <v>1</v>
      </c>
      <c r="C166">
        <v>1</v>
      </c>
      <c r="D166">
        <v>650000</v>
      </c>
      <c r="E166">
        <v>1907</v>
      </c>
      <c r="F166">
        <v>720</v>
      </c>
      <c r="G166">
        <v>903</v>
      </c>
      <c r="H166">
        <v>32</v>
      </c>
    </row>
    <row r="167" spans="1:8" x14ac:dyDescent="0.2">
      <c r="A167" s="1">
        <v>0</v>
      </c>
      <c r="B167">
        <v>2</v>
      </c>
      <c r="C167">
        <v>1</v>
      </c>
      <c r="D167">
        <v>385000</v>
      </c>
      <c r="E167">
        <v>1999</v>
      </c>
      <c r="F167">
        <v>820</v>
      </c>
      <c r="G167">
        <v>470</v>
      </c>
      <c r="H167">
        <v>8</v>
      </c>
    </row>
    <row r="168" spans="1:8" x14ac:dyDescent="0.2">
      <c r="A168" s="1">
        <v>0</v>
      </c>
      <c r="B168">
        <v>2</v>
      </c>
      <c r="C168">
        <v>2</v>
      </c>
      <c r="D168">
        <v>1695000</v>
      </c>
      <c r="E168">
        <v>2012</v>
      </c>
      <c r="F168">
        <v>1051</v>
      </c>
      <c r="G168">
        <v>1613</v>
      </c>
      <c r="H168">
        <v>16</v>
      </c>
    </row>
    <row r="169" spans="1:8" x14ac:dyDescent="0.2">
      <c r="A169" s="1">
        <v>0</v>
      </c>
      <c r="B169">
        <v>1</v>
      </c>
      <c r="C169">
        <v>1</v>
      </c>
      <c r="D169">
        <v>600000</v>
      </c>
      <c r="E169">
        <v>1899</v>
      </c>
      <c r="F169">
        <v>1060</v>
      </c>
      <c r="G169">
        <v>566</v>
      </c>
      <c r="H169">
        <v>8</v>
      </c>
    </row>
    <row r="170" spans="1:8" x14ac:dyDescent="0.2">
      <c r="A170" s="1">
        <v>0</v>
      </c>
      <c r="B170">
        <v>2</v>
      </c>
      <c r="C170">
        <v>1</v>
      </c>
      <c r="D170">
        <v>910000</v>
      </c>
      <c r="E170">
        <v>1899</v>
      </c>
      <c r="F170">
        <v>1060</v>
      </c>
      <c r="G170">
        <v>858</v>
      </c>
      <c r="H170">
        <v>8</v>
      </c>
    </row>
    <row r="171" spans="1:8" x14ac:dyDescent="0.2">
      <c r="A171" s="1">
        <v>0</v>
      </c>
      <c r="B171">
        <v>8</v>
      </c>
      <c r="C171">
        <v>7</v>
      </c>
      <c r="D171">
        <v>2300000</v>
      </c>
      <c r="E171">
        <v>1910</v>
      </c>
      <c r="F171">
        <v>4180</v>
      </c>
      <c r="G171">
        <v>550</v>
      </c>
      <c r="H171">
        <v>9</v>
      </c>
    </row>
    <row r="172" spans="1:8" x14ac:dyDescent="0.2">
      <c r="A172" s="1">
        <v>0</v>
      </c>
      <c r="B172">
        <v>1</v>
      </c>
      <c r="C172">
        <v>1</v>
      </c>
      <c r="D172">
        <v>600000</v>
      </c>
      <c r="E172">
        <v>1899</v>
      </c>
      <c r="F172">
        <v>1060</v>
      </c>
      <c r="G172">
        <v>566</v>
      </c>
      <c r="H172">
        <v>10</v>
      </c>
    </row>
    <row r="173" spans="1:8" x14ac:dyDescent="0.2">
      <c r="A173" s="1">
        <v>0</v>
      </c>
      <c r="B173">
        <v>2</v>
      </c>
      <c r="C173">
        <v>1</v>
      </c>
      <c r="D173">
        <v>910000</v>
      </c>
      <c r="E173">
        <v>1899</v>
      </c>
      <c r="F173">
        <v>1060</v>
      </c>
      <c r="G173">
        <v>858</v>
      </c>
      <c r="H173">
        <v>10</v>
      </c>
    </row>
    <row r="174" spans="1:8" x14ac:dyDescent="0.2">
      <c r="A174" s="1">
        <v>0</v>
      </c>
      <c r="B174">
        <v>2</v>
      </c>
      <c r="C174">
        <v>2</v>
      </c>
      <c r="D174">
        <v>1599000</v>
      </c>
      <c r="E174">
        <v>1973</v>
      </c>
      <c r="F174">
        <v>1400</v>
      </c>
      <c r="G174">
        <v>1142</v>
      </c>
      <c r="H174">
        <v>10</v>
      </c>
    </row>
    <row r="175" spans="1:8" x14ac:dyDescent="0.2">
      <c r="A175" s="1">
        <v>0</v>
      </c>
      <c r="B175">
        <v>2</v>
      </c>
      <c r="C175">
        <v>2</v>
      </c>
      <c r="D175">
        <v>4625000</v>
      </c>
      <c r="E175">
        <v>1987</v>
      </c>
      <c r="F175">
        <v>1695</v>
      </c>
      <c r="G175">
        <v>2729</v>
      </c>
      <c r="H175">
        <v>10</v>
      </c>
    </row>
    <row r="176" spans="1:8" x14ac:dyDescent="0.2">
      <c r="A176" s="1">
        <v>0</v>
      </c>
      <c r="B176">
        <v>0</v>
      </c>
      <c r="C176">
        <v>1</v>
      </c>
      <c r="D176">
        <v>325000</v>
      </c>
      <c r="E176">
        <v>1910</v>
      </c>
      <c r="F176">
        <v>375</v>
      </c>
      <c r="G176">
        <v>867</v>
      </c>
      <c r="H176">
        <v>11</v>
      </c>
    </row>
    <row r="177" spans="1:8" x14ac:dyDescent="0.2">
      <c r="A177" s="1">
        <v>0</v>
      </c>
      <c r="B177">
        <v>2</v>
      </c>
      <c r="C177">
        <v>2</v>
      </c>
      <c r="D177">
        <v>1599000</v>
      </c>
      <c r="E177">
        <v>1973</v>
      </c>
      <c r="F177">
        <v>1400</v>
      </c>
      <c r="G177">
        <v>1142</v>
      </c>
      <c r="H177">
        <v>14</v>
      </c>
    </row>
    <row r="178" spans="1:8" x14ac:dyDescent="0.2">
      <c r="A178" s="1">
        <v>0</v>
      </c>
      <c r="B178">
        <v>2</v>
      </c>
      <c r="C178">
        <v>2</v>
      </c>
      <c r="D178">
        <v>1965000</v>
      </c>
      <c r="E178">
        <v>2005</v>
      </c>
      <c r="F178">
        <v>1330</v>
      </c>
      <c r="G178">
        <v>1477</v>
      </c>
      <c r="H178">
        <v>16</v>
      </c>
    </row>
    <row r="179" spans="1:8" x14ac:dyDescent="0.2">
      <c r="A179" s="1">
        <v>0</v>
      </c>
      <c r="B179">
        <v>1</v>
      </c>
      <c r="C179">
        <v>1</v>
      </c>
      <c r="D179">
        <v>735000</v>
      </c>
      <c r="E179">
        <v>1928</v>
      </c>
      <c r="F179">
        <v>800</v>
      </c>
      <c r="G179">
        <v>919</v>
      </c>
      <c r="H179">
        <v>22</v>
      </c>
    </row>
    <row r="180" spans="1:8" x14ac:dyDescent="0.2">
      <c r="A180" s="1">
        <v>0</v>
      </c>
      <c r="B180">
        <v>2</v>
      </c>
      <c r="C180">
        <v>2</v>
      </c>
      <c r="D180">
        <v>4625000</v>
      </c>
      <c r="E180">
        <v>1987</v>
      </c>
      <c r="F180">
        <v>1695</v>
      </c>
      <c r="G180">
        <v>2729</v>
      </c>
      <c r="H180">
        <v>29</v>
      </c>
    </row>
    <row r="181" spans="1:8" x14ac:dyDescent="0.2">
      <c r="A181" s="1">
        <v>0</v>
      </c>
      <c r="B181">
        <v>1</v>
      </c>
      <c r="C181">
        <v>1</v>
      </c>
      <c r="D181">
        <v>749000</v>
      </c>
      <c r="E181">
        <v>2011</v>
      </c>
      <c r="F181">
        <v>762</v>
      </c>
      <c r="G181">
        <v>983</v>
      </c>
      <c r="H181">
        <v>10</v>
      </c>
    </row>
    <row r="182" spans="1:8" x14ac:dyDescent="0.2">
      <c r="A182" s="1">
        <v>0</v>
      </c>
      <c r="B182">
        <v>1</v>
      </c>
      <c r="C182">
        <v>1</v>
      </c>
      <c r="D182">
        <v>499999</v>
      </c>
      <c r="E182">
        <v>2011</v>
      </c>
      <c r="F182">
        <v>669</v>
      </c>
      <c r="G182">
        <v>747</v>
      </c>
      <c r="H182">
        <v>35</v>
      </c>
    </row>
    <row r="183" spans="1:8" x14ac:dyDescent="0.2">
      <c r="A183" s="1">
        <v>0</v>
      </c>
      <c r="B183">
        <v>1</v>
      </c>
      <c r="C183">
        <v>1</v>
      </c>
      <c r="D183">
        <v>749000</v>
      </c>
      <c r="E183">
        <v>2011</v>
      </c>
      <c r="F183">
        <v>762</v>
      </c>
      <c r="G183">
        <v>983</v>
      </c>
      <c r="H183">
        <v>35</v>
      </c>
    </row>
    <row r="184" spans="1:8" x14ac:dyDescent="0.2">
      <c r="A184" s="1">
        <v>0</v>
      </c>
      <c r="B184">
        <v>2</v>
      </c>
      <c r="C184">
        <v>2</v>
      </c>
      <c r="D184">
        <v>904000</v>
      </c>
      <c r="E184">
        <v>1920</v>
      </c>
      <c r="F184">
        <v>1503</v>
      </c>
      <c r="G184">
        <v>601</v>
      </c>
      <c r="H184">
        <v>10</v>
      </c>
    </row>
    <row r="185" spans="1:8" x14ac:dyDescent="0.2">
      <c r="A185" s="1">
        <v>0</v>
      </c>
      <c r="B185">
        <v>2</v>
      </c>
      <c r="C185">
        <v>2</v>
      </c>
      <c r="D185">
        <v>904000</v>
      </c>
      <c r="E185">
        <v>1920</v>
      </c>
      <c r="F185">
        <v>1503</v>
      </c>
      <c r="G185">
        <v>601</v>
      </c>
      <c r="H185">
        <v>10</v>
      </c>
    </row>
    <row r="186" spans="1:8" x14ac:dyDescent="0.2">
      <c r="A186" s="1">
        <v>0</v>
      </c>
      <c r="B186">
        <v>2</v>
      </c>
      <c r="C186">
        <v>1</v>
      </c>
      <c r="D186">
        <v>559900</v>
      </c>
      <c r="E186">
        <v>1925</v>
      </c>
      <c r="F186">
        <v>1200</v>
      </c>
      <c r="G186">
        <v>467</v>
      </c>
      <c r="H186">
        <v>51</v>
      </c>
    </row>
    <row r="187" spans="1:8" x14ac:dyDescent="0.2">
      <c r="A187" s="1">
        <v>0</v>
      </c>
      <c r="B187">
        <v>2</v>
      </c>
      <c r="C187">
        <v>1</v>
      </c>
      <c r="D187">
        <v>545000</v>
      </c>
      <c r="E187">
        <v>1939</v>
      </c>
      <c r="F187">
        <v>1049</v>
      </c>
      <c r="G187">
        <v>520</v>
      </c>
      <c r="H187">
        <v>39</v>
      </c>
    </row>
    <row r="188" spans="1:8" x14ac:dyDescent="0.2">
      <c r="A188" s="1">
        <v>0</v>
      </c>
      <c r="B188">
        <v>2</v>
      </c>
      <c r="C188">
        <v>1</v>
      </c>
      <c r="D188">
        <v>365000</v>
      </c>
      <c r="E188">
        <v>1925</v>
      </c>
      <c r="F188">
        <v>700</v>
      </c>
      <c r="G188">
        <v>521</v>
      </c>
      <c r="H188">
        <v>73</v>
      </c>
    </row>
    <row r="189" spans="1:8" x14ac:dyDescent="0.2">
      <c r="A189" s="1">
        <v>0</v>
      </c>
      <c r="B189">
        <v>2</v>
      </c>
      <c r="C189">
        <v>1</v>
      </c>
      <c r="D189">
        <v>365000</v>
      </c>
      <c r="E189">
        <v>1925</v>
      </c>
      <c r="F189">
        <v>700</v>
      </c>
      <c r="G189">
        <v>521</v>
      </c>
      <c r="H189">
        <v>73</v>
      </c>
    </row>
    <row r="190" spans="1:8" x14ac:dyDescent="0.2">
      <c r="A190" s="1">
        <v>0</v>
      </c>
      <c r="B190">
        <v>1</v>
      </c>
      <c r="C190">
        <v>1</v>
      </c>
      <c r="D190">
        <v>935000</v>
      </c>
      <c r="E190">
        <v>1910</v>
      </c>
      <c r="F190">
        <v>1102</v>
      </c>
      <c r="G190">
        <v>848</v>
      </c>
      <c r="H190">
        <v>8</v>
      </c>
    </row>
    <row r="191" spans="1:8" x14ac:dyDescent="0.2">
      <c r="A191" s="1">
        <v>0</v>
      </c>
      <c r="B191">
        <v>0</v>
      </c>
      <c r="C191">
        <v>1</v>
      </c>
      <c r="D191">
        <v>820000</v>
      </c>
      <c r="E191">
        <v>2013</v>
      </c>
      <c r="F191">
        <v>533</v>
      </c>
      <c r="G191">
        <v>1538</v>
      </c>
      <c r="H191">
        <v>8</v>
      </c>
    </row>
    <row r="192" spans="1:8" x14ac:dyDescent="0.2">
      <c r="A192" s="1">
        <v>0</v>
      </c>
      <c r="B192">
        <v>0</v>
      </c>
      <c r="C192">
        <v>1</v>
      </c>
      <c r="D192">
        <v>835000</v>
      </c>
      <c r="E192">
        <v>2013</v>
      </c>
      <c r="F192">
        <v>501</v>
      </c>
      <c r="G192">
        <v>1667</v>
      </c>
      <c r="H192">
        <v>8</v>
      </c>
    </row>
    <row r="193" spans="1:8" x14ac:dyDescent="0.2">
      <c r="A193" s="1">
        <v>0</v>
      </c>
      <c r="B193">
        <v>1</v>
      </c>
      <c r="C193">
        <v>1</v>
      </c>
      <c r="D193">
        <v>935000</v>
      </c>
      <c r="E193">
        <v>1910</v>
      </c>
      <c r="F193">
        <v>1102</v>
      </c>
      <c r="G193">
        <v>848</v>
      </c>
      <c r="H193">
        <v>10</v>
      </c>
    </row>
    <row r="194" spans="1:8" x14ac:dyDescent="0.2">
      <c r="A194" s="1">
        <v>0</v>
      </c>
      <c r="B194">
        <v>1</v>
      </c>
      <c r="C194">
        <v>1</v>
      </c>
      <c r="D194">
        <v>1420000</v>
      </c>
      <c r="E194">
        <v>2004</v>
      </c>
      <c r="F194">
        <v>768</v>
      </c>
      <c r="G194">
        <v>1849</v>
      </c>
      <c r="H194">
        <v>10</v>
      </c>
    </row>
    <row r="195" spans="1:8" x14ac:dyDescent="0.2">
      <c r="A195" s="1">
        <v>0</v>
      </c>
      <c r="B195">
        <v>1</v>
      </c>
      <c r="C195">
        <v>1</v>
      </c>
      <c r="D195">
        <v>1550000</v>
      </c>
      <c r="E195">
        <v>2004</v>
      </c>
      <c r="F195">
        <v>794</v>
      </c>
      <c r="G195">
        <v>1952</v>
      </c>
      <c r="H195">
        <v>10</v>
      </c>
    </row>
    <row r="196" spans="1:8" x14ac:dyDescent="0.2">
      <c r="A196" s="1">
        <v>0</v>
      </c>
      <c r="B196">
        <v>2</v>
      </c>
      <c r="C196">
        <v>2</v>
      </c>
      <c r="D196">
        <v>1635000</v>
      </c>
      <c r="E196">
        <v>2004</v>
      </c>
      <c r="F196">
        <v>957</v>
      </c>
      <c r="G196">
        <v>1708</v>
      </c>
      <c r="H196">
        <v>10</v>
      </c>
    </row>
    <row r="197" spans="1:8" x14ac:dyDescent="0.2">
      <c r="A197" s="1">
        <v>0</v>
      </c>
      <c r="B197">
        <v>1</v>
      </c>
      <c r="C197">
        <v>1</v>
      </c>
      <c r="D197">
        <v>1550000</v>
      </c>
      <c r="E197">
        <v>2004</v>
      </c>
      <c r="F197">
        <v>794</v>
      </c>
      <c r="G197">
        <v>1952</v>
      </c>
      <c r="H197">
        <v>11</v>
      </c>
    </row>
    <row r="198" spans="1:8" x14ac:dyDescent="0.2">
      <c r="A198" s="1">
        <v>0</v>
      </c>
      <c r="B198">
        <v>1</v>
      </c>
      <c r="C198">
        <v>1</v>
      </c>
      <c r="D198">
        <v>1780000</v>
      </c>
      <c r="E198">
        <v>2007</v>
      </c>
      <c r="F198">
        <v>988</v>
      </c>
      <c r="G198">
        <v>1802</v>
      </c>
      <c r="H198">
        <v>14</v>
      </c>
    </row>
    <row r="199" spans="1:8" x14ac:dyDescent="0.2">
      <c r="A199" s="1">
        <v>0</v>
      </c>
      <c r="B199">
        <v>2</v>
      </c>
      <c r="C199">
        <v>2</v>
      </c>
      <c r="D199">
        <v>2800000</v>
      </c>
      <c r="E199">
        <v>2007</v>
      </c>
      <c r="F199">
        <v>1308</v>
      </c>
      <c r="G199">
        <v>2141</v>
      </c>
      <c r="H199">
        <v>14</v>
      </c>
    </row>
    <row r="200" spans="1:8" x14ac:dyDescent="0.2">
      <c r="A200" s="1">
        <v>0</v>
      </c>
      <c r="B200">
        <v>1</v>
      </c>
      <c r="C200">
        <v>1</v>
      </c>
      <c r="D200">
        <v>411500</v>
      </c>
      <c r="E200">
        <v>1921</v>
      </c>
      <c r="F200">
        <v>586</v>
      </c>
      <c r="G200">
        <v>702</v>
      </c>
      <c r="H200">
        <v>6</v>
      </c>
    </row>
    <row r="201" spans="1:8" x14ac:dyDescent="0.2">
      <c r="A201" s="1">
        <v>0</v>
      </c>
      <c r="B201">
        <v>2</v>
      </c>
      <c r="C201">
        <v>2</v>
      </c>
      <c r="D201">
        <v>2175000</v>
      </c>
      <c r="E201">
        <v>1999</v>
      </c>
      <c r="F201">
        <v>1569</v>
      </c>
      <c r="G201">
        <v>1386</v>
      </c>
      <c r="H201">
        <v>10</v>
      </c>
    </row>
    <row r="202" spans="1:8" x14ac:dyDescent="0.2">
      <c r="A202" s="1">
        <v>0</v>
      </c>
      <c r="B202">
        <v>2</v>
      </c>
      <c r="C202">
        <v>2</v>
      </c>
      <c r="D202">
        <v>1995000</v>
      </c>
      <c r="E202">
        <v>1996</v>
      </c>
      <c r="F202">
        <v>1044</v>
      </c>
      <c r="G202">
        <v>1911</v>
      </c>
      <c r="H202">
        <v>10</v>
      </c>
    </row>
    <row r="203" spans="1:8" x14ac:dyDescent="0.2">
      <c r="A203" s="1">
        <v>0</v>
      </c>
      <c r="B203">
        <v>2</v>
      </c>
      <c r="C203">
        <v>2</v>
      </c>
      <c r="D203">
        <v>2235000</v>
      </c>
      <c r="E203">
        <v>1999</v>
      </c>
      <c r="F203">
        <v>1548</v>
      </c>
      <c r="G203">
        <v>1444</v>
      </c>
      <c r="H203">
        <v>14</v>
      </c>
    </row>
    <row r="204" spans="1:8" x14ac:dyDescent="0.2">
      <c r="A204" s="1">
        <v>0</v>
      </c>
      <c r="B204">
        <v>4</v>
      </c>
      <c r="C204">
        <v>4</v>
      </c>
      <c r="D204">
        <v>8800000</v>
      </c>
      <c r="E204">
        <v>1941</v>
      </c>
      <c r="F204">
        <v>3382</v>
      </c>
      <c r="G204">
        <v>2602</v>
      </c>
      <c r="H204">
        <v>15</v>
      </c>
    </row>
    <row r="205" spans="1:8" x14ac:dyDescent="0.2">
      <c r="A205" s="1">
        <v>0</v>
      </c>
      <c r="B205">
        <v>2</v>
      </c>
      <c r="C205">
        <v>2</v>
      </c>
      <c r="D205">
        <v>1850000</v>
      </c>
      <c r="E205">
        <v>1996</v>
      </c>
      <c r="F205">
        <v>1044</v>
      </c>
      <c r="G205">
        <v>1772</v>
      </c>
      <c r="H205">
        <v>17</v>
      </c>
    </row>
    <row r="206" spans="1:8" x14ac:dyDescent="0.2">
      <c r="A206" s="1">
        <v>0</v>
      </c>
      <c r="B206">
        <v>2</v>
      </c>
      <c r="C206">
        <v>2</v>
      </c>
      <c r="D206">
        <v>1995000</v>
      </c>
      <c r="E206">
        <v>1996</v>
      </c>
      <c r="F206">
        <v>1044</v>
      </c>
      <c r="G206">
        <v>1911</v>
      </c>
      <c r="H206">
        <v>17</v>
      </c>
    </row>
    <row r="207" spans="1:8" x14ac:dyDescent="0.2">
      <c r="A207" s="1">
        <v>0</v>
      </c>
      <c r="B207">
        <v>1</v>
      </c>
      <c r="C207">
        <v>1</v>
      </c>
      <c r="D207">
        <v>1695000</v>
      </c>
      <c r="E207">
        <v>1927</v>
      </c>
      <c r="F207">
        <v>680</v>
      </c>
      <c r="G207">
        <v>2493</v>
      </c>
      <c r="H207">
        <v>17</v>
      </c>
    </row>
    <row r="208" spans="1:8" x14ac:dyDescent="0.2">
      <c r="A208" s="1">
        <v>0</v>
      </c>
      <c r="B208">
        <v>1</v>
      </c>
      <c r="C208">
        <v>1</v>
      </c>
      <c r="D208">
        <v>1495000</v>
      </c>
      <c r="E208">
        <v>1962</v>
      </c>
      <c r="F208">
        <v>1125</v>
      </c>
      <c r="G208">
        <v>1329</v>
      </c>
      <c r="H208">
        <v>19</v>
      </c>
    </row>
    <row r="209" spans="1:8" x14ac:dyDescent="0.2">
      <c r="A209" s="1">
        <v>0</v>
      </c>
      <c r="B209">
        <v>2</v>
      </c>
      <c r="C209">
        <v>2</v>
      </c>
      <c r="D209">
        <v>2200000</v>
      </c>
      <c r="E209">
        <v>2000</v>
      </c>
      <c r="F209">
        <v>1044</v>
      </c>
      <c r="G209">
        <v>2107</v>
      </c>
      <c r="H209">
        <v>2</v>
      </c>
    </row>
    <row r="210" spans="1:8" x14ac:dyDescent="0.2">
      <c r="A210" s="1">
        <v>0</v>
      </c>
      <c r="B210">
        <v>0.5</v>
      </c>
      <c r="C210">
        <v>1</v>
      </c>
      <c r="D210">
        <v>384900</v>
      </c>
      <c r="E210">
        <v>1962</v>
      </c>
      <c r="F210">
        <v>540</v>
      </c>
      <c r="G210">
        <v>713</v>
      </c>
      <c r="H210">
        <v>10</v>
      </c>
    </row>
    <row r="211" spans="1:8" x14ac:dyDescent="0.2">
      <c r="A211" s="1">
        <v>0</v>
      </c>
      <c r="B211">
        <v>1</v>
      </c>
      <c r="C211">
        <v>1</v>
      </c>
      <c r="D211">
        <v>515000</v>
      </c>
      <c r="E211">
        <v>1962</v>
      </c>
      <c r="F211">
        <v>725</v>
      </c>
      <c r="G211">
        <v>710</v>
      </c>
      <c r="H211">
        <v>10</v>
      </c>
    </row>
    <row r="212" spans="1:8" x14ac:dyDescent="0.2">
      <c r="A212" s="1">
        <v>0</v>
      </c>
      <c r="B212">
        <v>3</v>
      </c>
      <c r="C212">
        <v>2</v>
      </c>
      <c r="D212">
        <v>1950000</v>
      </c>
      <c r="E212">
        <v>1956</v>
      </c>
      <c r="F212">
        <v>1600</v>
      </c>
      <c r="G212">
        <v>1219</v>
      </c>
      <c r="H212">
        <v>10</v>
      </c>
    </row>
    <row r="213" spans="1:8" x14ac:dyDescent="0.2">
      <c r="A213" s="1">
        <v>0</v>
      </c>
      <c r="B213">
        <v>0</v>
      </c>
      <c r="C213">
        <v>1</v>
      </c>
      <c r="D213">
        <v>307000</v>
      </c>
      <c r="E213">
        <v>1910</v>
      </c>
      <c r="F213">
        <v>330</v>
      </c>
      <c r="G213">
        <v>930</v>
      </c>
      <c r="H213">
        <v>15</v>
      </c>
    </row>
    <row r="214" spans="1:8" x14ac:dyDescent="0.2">
      <c r="A214" s="1">
        <v>0</v>
      </c>
      <c r="B214">
        <v>2</v>
      </c>
      <c r="C214">
        <v>2</v>
      </c>
      <c r="D214">
        <v>1735000</v>
      </c>
      <c r="E214">
        <v>1980</v>
      </c>
      <c r="F214">
        <v>1585</v>
      </c>
      <c r="G214">
        <v>1095</v>
      </c>
      <c r="H214">
        <v>18</v>
      </c>
    </row>
    <row r="215" spans="1:8" x14ac:dyDescent="0.2">
      <c r="A215" s="1">
        <v>0</v>
      </c>
      <c r="B215">
        <v>3</v>
      </c>
      <c r="C215">
        <v>3</v>
      </c>
      <c r="D215">
        <v>1850000</v>
      </c>
      <c r="E215">
        <v>2005</v>
      </c>
      <c r="F215">
        <v>1353</v>
      </c>
      <c r="G215">
        <v>1367</v>
      </c>
      <c r="H215">
        <v>8</v>
      </c>
    </row>
    <row r="216" spans="1:8" x14ac:dyDescent="0.2">
      <c r="A216" s="1">
        <v>0</v>
      </c>
      <c r="B216">
        <v>3</v>
      </c>
      <c r="C216">
        <v>3</v>
      </c>
      <c r="D216">
        <v>1850000</v>
      </c>
      <c r="E216">
        <v>2005</v>
      </c>
      <c r="F216">
        <v>1353</v>
      </c>
      <c r="G216">
        <v>1367</v>
      </c>
      <c r="H216">
        <v>10</v>
      </c>
    </row>
    <row r="217" spans="1:8" x14ac:dyDescent="0.2">
      <c r="A217" s="1">
        <v>0</v>
      </c>
      <c r="B217">
        <v>2</v>
      </c>
      <c r="C217">
        <v>2</v>
      </c>
      <c r="D217">
        <v>1995000</v>
      </c>
      <c r="E217">
        <v>1986</v>
      </c>
      <c r="F217">
        <v>1406</v>
      </c>
      <c r="G217">
        <v>1419</v>
      </c>
      <c r="H217">
        <v>14</v>
      </c>
    </row>
    <row r="218" spans="1:8" x14ac:dyDescent="0.2">
      <c r="A218" s="1">
        <v>0</v>
      </c>
      <c r="B218">
        <v>2</v>
      </c>
      <c r="C218">
        <v>2</v>
      </c>
      <c r="D218">
        <v>2900000</v>
      </c>
      <c r="E218">
        <v>1987</v>
      </c>
      <c r="F218">
        <v>1600</v>
      </c>
      <c r="G218">
        <v>1813</v>
      </c>
      <c r="H218">
        <v>24</v>
      </c>
    </row>
    <row r="219" spans="1:8" x14ac:dyDescent="0.2">
      <c r="A219" s="1">
        <v>0</v>
      </c>
      <c r="B219">
        <v>2</v>
      </c>
      <c r="C219">
        <v>2</v>
      </c>
      <c r="D219">
        <v>2499000</v>
      </c>
      <c r="E219">
        <v>2004</v>
      </c>
      <c r="F219">
        <v>1658</v>
      </c>
      <c r="G219">
        <v>1507</v>
      </c>
      <c r="H219">
        <v>24</v>
      </c>
    </row>
    <row r="220" spans="1:8" x14ac:dyDescent="0.2">
      <c r="A220" s="1">
        <v>0</v>
      </c>
      <c r="B220">
        <v>2</v>
      </c>
      <c r="C220">
        <v>2</v>
      </c>
      <c r="D220">
        <v>1575000</v>
      </c>
      <c r="E220">
        <v>1930</v>
      </c>
      <c r="F220">
        <v>1324</v>
      </c>
      <c r="G220">
        <v>1190</v>
      </c>
      <c r="H220">
        <v>33</v>
      </c>
    </row>
    <row r="221" spans="1:8" x14ac:dyDescent="0.2">
      <c r="A221" s="1">
        <v>0</v>
      </c>
      <c r="B221">
        <v>3</v>
      </c>
      <c r="C221">
        <v>3</v>
      </c>
      <c r="D221">
        <v>1495000</v>
      </c>
      <c r="E221">
        <v>1990</v>
      </c>
      <c r="F221">
        <v>1360</v>
      </c>
      <c r="G221">
        <v>1099</v>
      </c>
      <c r="H221">
        <v>0</v>
      </c>
    </row>
    <row r="222" spans="1:8" x14ac:dyDescent="0.2">
      <c r="A222" s="1">
        <v>0</v>
      </c>
      <c r="B222">
        <v>1</v>
      </c>
      <c r="C222">
        <v>1</v>
      </c>
      <c r="D222">
        <v>529000</v>
      </c>
      <c r="E222">
        <v>1986</v>
      </c>
      <c r="F222">
        <v>650</v>
      </c>
      <c r="G222">
        <v>814</v>
      </c>
      <c r="H222">
        <v>0</v>
      </c>
    </row>
    <row r="223" spans="1:8" x14ac:dyDescent="0.2">
      <c r="A223" s="1">
        <v>0</v>
      </c>
      <c r="B223">
        <v>3</v>
      </c>
      <c r="C223">
        <v>3</v>
      </c>
      <c r="D223">
        <v>2695000</v>
      </c>
      <c r="E223">
        <v>2006</v>
      </c>
      <c r="F223">
        <v>1991</v>
      </c>
      <c r="G223">
        <v>1354</v>
      </c>
      <c r="H223">
        <v>1</v>
      </c>
    </row>
    <row r="224" spans="1:8" x14ac:dyDescent="0.2">
      <c r="A224" s="1">
        <v>0</v>
      </c>
      <c r="B224">
        <v>3</v>
      </c>
      <c r="C224">
        <v>3</v>
      </c>
      <c r="D224">
        <v>2695000</v>
      </c>
      <c r="E224">
        <v>2006</v>
      </c>
      <c r="F224">
        <v>1991</v>
      </c>
      <c r="G224">
        <v>1354</v>
      </c>
      <c r="H224">
        <v>1</v>
      </c>
    </row>
    <row r="225" spans="1:8" x14ac:dyDescent="0.2">
      <c r="A225" s="1">
        <v>0</v>
      </c>
      <c r="B225">
        <v>4</v>
      </c>
      <c r="C225">
        <v>3</v>
      </c>
      <c r="D225">
        <v>3895000</v>
      </c>
      <c r="E225">
        <v>2001</v>
      </c>
      <c r="F225">
        <v>2277</v>
      </c>
      <c r="G225">
        <v>1711</v>
      </c>
      <c r="H225">
        <v>0</v>
      </c>
    </row>
    <row r="226" spans="1:8" x14ac:dyDescent="0.2">
      <c r="A226" s="1">
        <v>1</v>
      </c>
      <c r="B226">
        <v>1</v>
      </c>
      <c r="C226">
        <v>1</v>
      </c>
      <c r="D226">
        <v>550000</v>
      </c>
      <c r="E226">
        <v>1982</v>
      </c>
      <c r="F226">
        <v>724</v>
      </c>
      <c r="G226">
        <v>760</v>
      </c>
      <c r="H226">
        <v>24</v>
      </c>
    </row>
    <row r="227" spans="1:8" x14ac:dyDescent="0.2">
      <c r="A227" s="1">
        <v>1</v>
      </c>
      <c r="B227">
        <v>2</v>
      </c>
      <c r="C227">
        <v>2</v>
      </c>
      <c r="D227">
        <v>849000</v>
      </c>
      <c r="E227">
        <v>1982</v>
      </c>
      <c r="F227">
        <v>1030</v>
      </c>
      <c r="G227">
        <v>824</v>
      </c>
      <c r="H227">
        <v>24</v>
      </c>
    </row>
    <row r="228" spans="1:8" x14ac:dyDescent="0.2">
      <c r="A228" s="1">
        <v>1</v>
      </c>
      <c r="B228">
        <v>3</v>
      </c>
      <c r="C228">
        <v>2</v>
      </c>
      <c r="D228">
        <v>1750000</v>
      </c>
      <c r="E228">
        <v>1900</v>
      </c>
      <c r="F228">
        <v>2950</v>
      </c>
      <c r="G228">
        <v>593</v>
      </c>
      <c r="H228">
        <v>26</v>
      </c>
    </row>
    <row r="229" spans="1:8" x14ac:dyDescent="0.2">
      <c r="A229" s="1">
        <v>1</v>
      </c>
      <c r="B229">
        <v>1</v>
      </c>
      <c r="C229">
        <v>1</v>
      </c>
      <c r="D229">
        <v>799000</v>
      </c>
      <c r="E229">
        <v>2008</v>
      </c>
      <c r="F229">
        <v>847</v>
      </c>
      <c r="G229">
        <v>943</v>
      </c>
      <c r="H229">
        <v>29</v>
      </c>
    </row>
    <row r="230" spans="1:8" x14ac:dyDescent="0.2">
      <c r="A230" s="1">
        <v>1</v>
      </c>
      <c r="B230">
        <v>1</v>
      </c>
      <c r="C230">
        <v>1.5</v>
      </c>
      <c r="D230">
        <v>899000</v>
      </c>
      <c r="E230">
        <v>1997</v>
      </c>
      <c r="F230">
        <v>1453</v>
      </c>
      <c r="G230">
        <v>619</v>
      </c>
      <c r="H230">
        <v>3</v>
      </c>
    </row>
    <row r="231" spans="1:8" x14ac:dyDescent="0.2">
      <c r="A231" s="1">
        <v>1</v>
      </c>
      <c r="B231">
        <v>1</v>
      </c>
      <c r="C231">
        <v>1</v>
      </c>
      <c r="D231">
        <v>598000</v>
      </c>
      <c r="E231">
        <v>2005</v>
      </c>
      <c r="F231">
        <v>534</v>
      </c>
      <c r="G231">
        <v>1120</v>
      </c>
      <c r="H231">
        <v>5</v>
      </c>
    </row>
    <row r="232" spans="1:8" x14ac:dyDescent="0.2">
      <c r="A232" s="1">
        <v>1</v>
      </c>
      <c r="B232">
        <v>1</v>
      </c>
      <c r="C232">
        <v>2</v>
      </c>
      <c r="D232">
        <v>1088000</v>
      </c>
      <c r="E232">
        <v>1998</v>
      </c>
      <c r="F232">
        <v>1086</v>
      </c>
      <c r="G232">
        <v>1002</v>
      </c>
      <c r="H232">
        <v>6</v>
      </c>
    </row>
    <row r="233" spans="1:8" x14ac:dyDescent="0.2">
      <c r="A233" s="1">
        <v>1</v>
      </c>
      <c r="B233">
        <v>1</v>
      </c>
      <c r="C233">
        <v>1</v>
      </c>
      <c r="D233">
        <v>798000</v>
      </c>
      <c r="E233">
        <v>1926</v>
      </c>
      <c r="F233">
        <v>769</v>
      </c>
      <c r="G233">
        <v>1038</v>
      </c>
      <c r="H233">
        <v>10</v>
      </c>
    </row>
    <row r="234" spans="1:8" x14ac:dyDescent="0.2">
      <c r="A234" s="1">
        <v>1</v>
      </c>
      <c r="B234">
        <v>1</v>
      </c>
      <c r="C234">
        <v>1</v>
      </c>
      <c r="D234">
        <v>798000</v>
      </c>
      <c r="E234">
        <v>1926</v>
      </c>
      <c r="F234">
        <v>769</v>
      </c>
      <c r="G234">
        <v>1038</v>
      </c>
      <c r="H234">
        <v>10</v>
      </c>
    </row>
    <row r="235" spans="1:8" x14ac:dyDescent="0.2">
      <c r="A235" s="1">
        <v>1</v>
      </c>
      <c r="B235">
        <v>1</v>
      </c>
      <c r="C235">
        <v>1</v>
      </c>
      <c r="D235">
        <v>1495000</v>
      </c>
      <c r="E235">
        <v>1927</v>
      </c>
      <c r="F235">
        <v>2275</v>
      </c>
      <c r="G235">
        <v>657</v>
      </c>
      <c r="H235">
        <v>10</v>
      </c>
    </row>
    <row r="236" spans="1:8" x14ac:dyDescent="0.2">
      <c r="A236" s="1">
        <v>1</v>
      </c>
      <c r="B236">
        <v>4</v>
      </c>
      <c r="C236">
        <v>4</v>
      </c>
      <c r="D236">
        <v>4300000</v>
      </c>
      <c r="E236">
        <v>2006</v>
      </c>
      <c r="F236">
        <v>3321</v>
      </c>
      <c r="G236">
        <v>1295</v>
      </c>
      <c r="H236">
        <v>10</v>
      </c>
    </row>
    <row r="237" spans="1:8" x14ac:dyDescent="0.2">
      <c r="A237" s="1">
        <v>1</v>
      </c>
      <c r="B237">
        <v>1</v>
      </c>
      <c r="C237">
        <v>1</v>
      </c>
      <c r="D237">
        <v>699000</v>
      </c>
      <c r="E237">
        <v>2008</v>
      </c>
      <c r="F237">
        <v>756</v>
      </c>
      <c r="G237">
        <v>925</v>
      </c>
      <c r="H237">
        <v>12</v>
      </c>
    </row>
    <row r="238" spans="1:8" x14ac:dyDescent="0.2">
      <c r="A238" s="1">
        <v>1</v>
      </c>
      <c r="B238">
        <v>2</v>
      </c>
      <c r="C238">
        <v>2</v>
      </c>
      <c r="D238">
        <v>334905</v>
      </c>
      <c r="E238">
        <v>2000</v>
      </c>
      <c r="F238">
        <v>1047</v>
      </c>
      <c r="G238">
        <v>320</v>
      </c>
      <c r="H238">
        <v>12</v>
      </c>
    </row>
    <row r="239" spans="1:8" x14ac:dyDescent="0.2">
      <c r="A239" s="1">
        <v>1</v>
      </c>
      <c r="B239">
        <v>1</v>
      </c>
      <c r="C239">
        <v>1.5</v>
      </c>
      <c r="D239">
        <v>849000</v>
      </c>
      <c r="E239">
        <v>1996</v>
      </c>
      <c r="F239">
        <v>1127</v>
      </c>
      <c r="G239">
        <v>753</v>
      </c>
      <c r="H239">
        <v>13</v>
      </c>
    </row>
    <row r="240" spans="1:8" x14ac:dyDescent="0.2">
      <c r="A240" s="1">
        <v>1</v>
      </c>
      <c r="B240">
        <v>1</v>
      </c>
      <c r="C240">
        <v>1.5</v>
      </c>
      <c r="D240">
        <v>1365000</v>
      </c>
      <c r="E240">
        <v>1996</v>
      </c>
      <c r="F240">
        <v>1607</v>
      </c>
      <c r="G240">
        <v>849</v>
      </c>
      <c r="H240">
        <v>13</v>
      </c>
    </row>
    <row r="241" spans="1:8" x14ac:dyDescent="0.2">
      <c r="A241" s="1">
        <v>1</v>
      </c>
      <c r="B241">
        <v>1</v>
      </c>
      <c r="C241">
        <v>1</v>
      </c>
      <c r="D241">
        <v>649000</v>
      </c>
      <c r="E241">
        <v>2011</v>
      </c>
      <c r="F241">
        <v>674</v>
      </c>
      <c r="G241">
        <v>963</v>
      </c>
      <c r="H241">
        <v>14</v>
      </c>
    </row>
    <row r="242" spans="1:8" x14ac:dyDescent="0.2">
      <c r="A242" s="1">
        <v>1</v>
      </c>
      <c r="B242">
        <v>3</v>
      </c>
      <c r="C242">
        <v>3</v>
      </c>
      <c r="D242">
        <v>1245000</v>
      </c>
      <c r="E242">
        <v>1907</v>
      </c>
      <c r="F242">
        <v>1503</v>
      </c>
      <c r="G242">
        <v>828</v>
      </c>
      <c r="H242">
        <v>23</v>
      </c>
    </row>
    <row r="243" spans="1:8" x14ac:dyDescent="0.2">
      <c r="A243" s="1">
        <v>1</v>
      </c>
      <c r="B243">
        <v>1</v>
      </c>
      <c r="C243">
        <v>1</v>
      </c>
      <c r="D243">
        <v>649000</v>
      </c>
      <c r="E243">
        <v>1983</v>
      </c>
      <c r="F243">
        <v>850</v>
      </c>
      <c r="G243">
        <v>764</v>
      </c>
      <c r="H243">
        <v>163</v>
      </c>
    </row>
    <row r="244" spans="1:8" x14ac:dyDescent="0.2">
      <c r="A244" s="1">
        <v>1</v>
      </c>
      <c r="B244">
        <v>2</v>
      </c>
      <c r="C244">
        <v>2</v>
      </c>
      <c r="D244">
        <v>1700000</v>
      </c>
      <c r="E244">
        <v>1987</v>
      </c>
      <c r="F244">
        <v>1250</v>
      </c>
      <c r="G244">
        <v>1360</v>
      </c>
      <c r="H244">
        <v>11</v>
      </c>
    </row>
    <row r="245" spans="1:8" x14ac:dyDescent="0.2">
      <c r="A245" s="1">
        <v>1</v>
      </c>
      <c r="B245">
        <v>2</v>
      </c>
      <c r="C245">
        <v>2</v>
      </c>
      <c r="D245">
        <v>1980000</v>
      </c>
      <c r="E245">
        <v>2009</v>
      </c>
      <c r="F245">
        <v>1469</v>
      </c>
      <c r="G245">
        <v>1348</v>
      </c>
      <c r="H245">
        <v>0</v>
      </c>
    </row>
    <row r="246" spans="1:8" x14ac:dyDescent="0.2">
      <c r="A246" s="1">
        <v>1</v>
      </c>
      <c r="B246">
        <v>2</v>
      </c>
      <c r="C246">
        <v>2</v>
      </c>
      <c r="D246">
        <v>3600000</v>
      </c>
      <c r="E246">
        <v>2009</v>
      </c>
      <c r="F246">
        <v>1652</v>
      </c>
      <c r="G246">
        <v>2179</v>
      </c>
      <c r="H246">
        <v>0</v>
      </c>
    </row>
    <row r="247" spans="1:8" x14ac:dyDescent="0.2">
      <c r="A247" s="1">
        <v>1</v>
      </c>
      <c r="B247">
        <v>2</v>
      </c>
      <c r="C247">
        <v>3</v>
      </c>
      <c r="D247">
        <v>4995000</v>
      </c>
      <c r="E247">
        <v>2009</v>
      </c>
      <c r="F247">
        <v>2230</v>
      </c>
      <c r="G247">
        <v>2240</v>
      </c>
      <c r="H247">
        <v>0</v>
      </c>
    </row>
    <row r="248" spans="1:8" x14ac:dyDescent="0.2">
      <c r="A248" s="1">
        <v>1</v>
      </c>
      <c r="B248">
        <v>2</v>
      </c>
      <c r="C248">
        <v>2</v>
      </c>
      <c r="D248">
        <v>1298000</v>
      </c>
      <c r="E248">
        <v>2008</v>
      </c>
      <c r="F248">
        <v>1159</v>
      </c>
      <c r="G248">
        <v>1120</v>
      </c>
      <c r="H248">
        <v>0</v>
      </c>
    </row>
    <row r="249" spans="1:8" x14ac:dyDescent="0.2">
      <c r="A249" s="1">
        <v>1</v>
      </c>
      <c r="B249">
        <v>2</v>
      </c>
      <c r="C249">
        <v>2</v>
      </c>
      <c r="D249">
        <v>2149000</v>
      </c>
      <c r="E249">
        <v>2008</v>
      </c>
      <c r="F249">
        <v>1317</v>
      </c>
      <c r="G249">
        <v>1632</v>
      </c>
      <c r="H249">
        <v>0</v>
      </c>
    </row>
    <row r="250" spans="1:8" x14ac:dyDescent="0.2">
      <c r="A250" s="1">
        <v>1</v>
      </c>
      <c r="B250">
        <v>3</v>
      </c>
      <c r="C250">
        <v>2</v>
      </c>
      <c r="D250">
        <v>1995000</v>
      </c>
      <c r="E250">
        <v>2006</v>
      </c>
      <c r="F250">
        <v>1362</v>
      </c>
      <c r="G250">
        <v>1465</v>
      </c>
      <c r="H250">
        <v>3</v>
      </c>
    </row>
    <row r="251" spans="1:8" x14ac:dyDescent="0.2">
      <c r="A251" s="1">
        <v>1</v>
      </c>
      <c r="B251">
        <v>2</v>
      </c>
      <c r="C251">
        <v>2</v>
      </c>
      <c r="D251">
        <v>1650000</v>
      </c>
      <c r="E251">
        <v>1937</v>
      </c>
      <c r="F251">
        <v>1640</v>
      </c>
      <c r="G251">
        <v>1006</v>
      </c>
      <c r="H251">
        <v>7</v>
      </c>
    </row>
    <row r="252" spans="1:8" x14ac:dyDescent="0.2">
      <c r="A252" s="1">
        <v>1</v>
      </c>
      <c r="B252">
        <v>1</v>
      </c>
      <c r="C252">
        <v>1</v>
      </c>
      <c r="D252">
        <v>949000</v>
      </c>
      <c r="E252">
        <v>2010</v>
      </c>
      <c r="F252">
        <v>824</v>
      </c>
      <c r="G252">
        <v>1152</v>
      </c>
      <c r="H252">
        <v>8</v>
      </c>
    </row>
    <row r="253" spans="1:8" x14ac:dyDescent="0.2">
      <c r="A253" s="1">
        <v>1</v>
      </c>
      <c r="B253">
        <v>1</v>
      </c>
      <c r="C253">
        <v>1</v>
      </c>
      <c r="D253">
        <v>187518</v>
      </c>
      <c r="E253">
        <v>2000</v>
      </c>
      <c r="F253">
        <v>670</v>
      </c>
      <c r="G253">
        <v>280</v>
      </c>
      <c r="H253">
        <v>12</v>
      </c>
    </row>
    <row r="254" spans="1:8" x14ac:dyDescent="0.2">
      <c r="A254" s="1">
        <v>1</v>
      </c>
      <c r="B254">
        <v>3</v>
      </c>
      <c r="C254">
        <v>2.5</v>
      </c>
      <c r="D254">
        <v>1995000</v>
      </c>
      <c r="E254">
        <v>2008</v>
      </c>
      <c r="F254">
        <v>2354</v>
      </c>
      <c r="G254">
        <v>847</v>
      </c>
      <c r="H254">
        <v>23</v>
      </c>
    </row>
    <row r="255" spans="1:8" x14ac:dyDescent="0.2">
      <c r="A255" s="1">
        <v>1</v>
      </c>
      <c r="B255">
        <v>3</v>
      </c>
      <c r="C255">
        <v>2.5</v>
      </c>
      <c r="D255">
        <v>1995000</v>
      </c>
      <c r="E255">
        <v>2008</v>
      </c>
      <c r="F255">
        <v>2354</v>
      </c>
      <c r="G255">
        <v>847</v>
      </c>
      <c r="H255">
        <v>23</v>
      </c>
    </row>
    <row r="256" spans="1:8" x14ac:dyDescent="0.2">
      <c r="A256" s="1">
        <v>1</v>
      </c>
      <c r="B256">
        <v>2</v>
      </c>
      <c r="C256">
        <v>2</v>
      </c>
      <c r="D256">
        <v>2799000</v>
      </c>
      <c r="E256">
        <v>2008</v>
      </c>
      <c r="F256">
        <v>1328</v>
      </c>
      <c r="G256">
        <v>2108</v>
      </c>
      <c r="H256">
        <v>35</v>
      </c>
    </row>
    <row r="257" spans="1:8" x14ac:dyDescent="0.2">
      <c r="A257" s="1">
        <v>1</v>
      </c>
      <c r="B257">
        <v>2</v>
      </c>
      <c r="C257">
        <v>2.5</v>
      </c>
      <c r="D257">
        <v>1050000</v>
      </c>
      <c r="E257">
        <v>2000</v>
      </c>
      <c r="F257">
        <v>1640</v>
      </c>
      <c r="G257">
        <v>640</v>
      </c>
      <c r="H257">
        <v>2</v>
      </c>
    </row>
    <row r="258" spans="1:8" x14ac:dyDescent="0.2">
      <c r="A258" s="1">
        <v>1</v>
      </c>
      <c r="B258">
        <v>2</v>
      </c>
      <c r="C258">
        <v>2</v>
      </c>
      <c r="D258">
        <v>895000</v>
      </c>
      <c r="E258">
        <v>2006</v>
      </c>
      <c r="F258">
        <v>1113</v>
      </c>
      <c r="G258">
        <v>804</v>
      </c>
      <c r="H258">
        <v>3</v>
      </c>
    </row>
    <row r="259" spans="1:8" x14ac:dyDescent="0.2">
      <c r="A259" s="1">
        <v>1</v>
      </c>
      <c r="B259">
        <v>1</v>
      </c>
      <c r="C259">
        <v>1</v>
      </c>
      <c r="D259">
        <v>998000</v>
      </c>
      <c r="E259">
        <v>2006</v>
      </c>
      <c r="F259">
        <v>872</v>
      </c>
      <c r="G259">
        <v>1144</v>
      </c>
      <c r="H259">
        <v>3</v>
      </c>
    </row>
    <row r="260" spans="1:8" x14ac:dyDescent="0.2">
      <c r="A260" s="1">
        <v>1</v>
      </c>
      <c r="B260">
        <v>2</v>
      </c>
      <c r="C260">
        <v>2</v>
      </c>
      <c r="D260">
        <v>1659000</v>
      </c>
      <c r="E260">
        <v>2000</v>
      </c>
      <c r="F260">
        <v>1165</v>
      </c>
      <c r="G260">
        <v>1424</v>
      </c>
      <c r="H260">
        <v>4</v>
      </c>
    </row>
    <row r="261" spans="1:8" x14ac:dyDescent="0.2">
      <c r="A261" s="1">
        <v>1</v>
      </c>
      <c r="B261">
        <v>1</v>
      </c>
      <c r="C261">
        <v>1</v>
      </c>
      <c r="D261">
        <v>788000</v>
      </c>
      <c r="E261">
        <v>2004</v>
      </c>
      <c r="F261">
        <v>903</v>
      </c>
      <c r="G261">
        <v>873</v>
      </c>
      <c r="H261">
        <v>4</v>
      </c>
    </row>
    <row r="262" spans="1:8" x14ac:dyDescent="0.2">
      <c r="A262" s="1">
        <v>1</v>
      </c>
      <c r="B262">
        <v>2</v>
      </c>
      <c r="C262">
        <v>2</v>
      </c>
      <c r="D262">
        <v>1395000</v>
      </c>
      <c r="E262">
        <v>2001</v>
      </c>
      <c r="F262">
        <v>1334</v>
      </c>
      <c r="G262">
        <v>1046</v>
      </c>
      <c r="H262">
        <v>4</v>
      </c>
    </row>
    <row r="263" spans="1:8" x14ac:dyDescent="0.2">
      <c r="A263" s="1">
        <v>1</v>
      </c>
      <c r="B263">
        <v>2</v>
      </c>
      <c r="C263">
        <v>2</v>
      </c>
      <c r="D263">
        <v>1299000</v>
      </c>
      <c r="E263">
        <v>2004</v>
      </c>
      <c r="F263">
        <v>1453</v>
      </c>
      <c r="G263">
        <v>894</v>
      </c>
      <c r="H263">
        <v>5</v>
      </c>
    </row>
    <row r="264" spans="1:8" x14ac:dyDescent="0.2">
      <c r="A264" s="1">
        <v>1</v>
      </c>
      <c r="B264">
        <v>2</v>
      </c>
      <c r="C264">
        <v>2.5</v>
      </c>
      <c r="D264">
        <v>850000</v>
      </c>
      <c r="E264">
        <v>2000</v>
      </c>
      <c r="F264">
        <v>1136</v>
      </c>
      <c r="G264">
        <v>748</v>
      </c>
      <c r="H264">
        <v>5</v>
      </c>
    </row>
    <row r="265" spans="1:8" x14ac:dyDescent="0.2">
      <c r="A265" s="1">
        <v>1</v>
      </c>
      <c r="B265">
        <v>3</v>
      </c>
      <c r="C265">
        <v>2.5</v>
      </c>
      <c r="D265">
        <v>2850000</v>
      </c>
      <c r="E265">
        <v>2013</v>
      </c>
      <c r="F265">
        <v>2075</v>
      </c>
      <c r="G265">
        <v>1373</v>
      </c>
      <c r="H265">
        <v>5</v>
      </c>
    </row>
    <row r="266" spans="1:8" x14ac:dyDescent="0.2">
      <c r="A266" s="1">
        <v>1</v>
      </c>
      <c r="B266">
        <v>2</v>
      </c>
      <c r="C266">
        <v>2</v>
      </c>
      <c r="D266">
        <v>950000</v>
      </c>
      <c r="E266">
        <v>2000</v>
      </c>
      <c r="F266">
        <v>1258</v>
      </c>
      <c r="G266">
        <v>755</v>
      </c>
      <c r="H266">
        <v>6</v>
      </c>
    </row>
    <row r="267" spans="1:8" x14ac:dyDescent="0.2">
      <c r="A267" s="1">
        <v>1</v>
      </c>
      <c r="B267">
        <v>2</v>
      </c>
      <c r="C267">
        <v>2</v>
      </c>
      <c r="D267">
        <v>1600000</v>
      </c>
      <c r="E267">
        <v>2002</v>
      </c>
      <c r="F267">
        <v>1173</v>
      </c>
      <c r="G267">
        <v>1364</v>
      </c>
      <c r="H267">
        <v>7</v>
      </c>
    </row>
    <row r="268" spans="1:8" x14ac:dyDescent="0.2">
      <c r="A268" s="1">
        <v>1</v>
      </c>
      <c r="B268">
        <v>3</v>
      </c>
      <c r="C268">
        <v>2</v>
      </c>
      <c r="D268">
        <v>1275000</v>
      </c>
      <c r="E268">
        <v>2001</v>
      </c>
      <c r="F268">
        <v>1502</v>
      </c>
      <c r="G268">
        <v>849</v>
      </c>
      <c r="H268">
        <v>13</v>
      </c>
    </row>
    <row r="269" spans="1:8" x14ac:dyDescent="0.2">
      <c r="A269" s="1">
        <v>1</v>
      </c>
      <c r="B269">
        <v>1</v>
      </c>
      <c r="C269">
        <v>1.5</v>
      </c>
      <c r="D269">
        <v>775000</v>
      </c>
      <c r="E269">
        <v>2009</v>
      </c>
      <c r="F269">
        <v>835</v>
      </c>
      <c r="G269">
        <v>928</v>
      </c>
      <c r="H269">
        <v>14</v>
      </c>
    </row>
    <row r="270" spans="1:8" x14ac:dyDescent="0.2">
      <c r="A270" s="1">
        <v>1</v>
      </c>
      <c r="B270">
        <v>3</v>
      </c>
      <c r="C270">
        <v>2</v>
      </c>
      <c r="D270">
        <v>1399000</v>
      </c>
      <c r="E270">
        <v>1892</v>
      </c>
      <c r="F270">
        <v>1809</v>
      </c>
      <c r="G270">
        <v>773</v>
      </c>
      <c r="H270">
        <v>41</v>
      </c>
    </row>
    <row r="271" spans="1:8" x14ac:dyDescent="0.2">
      <c r="A271" s="1">
        <v>1</v>
      </c>
      <c r="B271">
        <v>2</v>
      </c>
      <c r="C271">
        <v>2</v>
      </c>
      <c r="D271">
        <v>879000</v>
      </c>
      <c r="E271">
        <v>1912</v>
      </c>
      <c r="F271">
        <v>950</v>
      </c>
      <c r="G271">
        <v>925</v>
      </c>
      <c r="H271">
        <v>53</v>
      </c>
    </row>
    <row r="272" spans="1:8" x14ac:dyDescent="0.2">
      <c r="A272" s="1">
        <v>1</v>
      </c>
      <c r="B272">
        <v>1</v>
      </c>
      <c r="C272">
        <v>1</v>
      </c>
      <c r="D272">
        <v>699000</v>
      </c>
      <c r="E272">
        <v>1907</v>
      </c>
      <c r="F272">
        <v>932</v>
      </c>
      <c r="G272">
        <v>750</v>
      </c>
      <c r="H272">
        <v>59</v>
      </c>
    </row>
    <row r="273" spans="1:8" x14ac:dyDescent="0.2">
      <c r="A273" s="1">
        <v>1</v>
      </c>
      <c r="B273">
        <v>1</v>
      </c>
      <c r="C273">
        <v>1</v>
      </c>
      <c r="D273">
        <v>985000</v>
      </c>
      <c r="E273">
        <v>1978</v>
      </c>
      <c r="F273">
        <v>884</v>
      </c>
      <c r="G273">
        <v>1114</v>
      </c>
      <c r="H273">
        <v>11</v>
      </c>
    </row>
    <row r="274" spans="1:8" x14ac:dyDescent="0.2">
      <c r="A274" s="1">
        <v>1</v>
      </c>
      <c r="B274">
        <v>1</v>
      </c>
      <c r="C274">
        <v>1</v>
      </c>
      <c r="D274">
        <v>725000</v>
      </c>
      <c r="E274">
        <v>1978</v>
      </c>
      <c r="F274">
        <v>1063</v>
      </c>
      <c r="G274">
        <v>682</v>
      </c>
      <c r="H274">
        <v>60</v>
      </c>
    </row>
    <row r="275" spans="1:8" x14ac:dyDescent="0.2">
      <c r="A275" s="1">
        <v>1</v>
      </c>
      <c r="B275">
        <v>2</v>
      </c>
      <c r="C275">
        <v>2</v>
      </c>
      <c r="D275">
        <v>849000</v>
      </c>
      <c r="E275">
        <v>1911</v>
      </c>
      <c r="F275">
        <v>1100</v>
      </c>
      <c r="G275">
        <v>772</v>
      </c>
      <c r="H275">
        <v>66</v>
      </c>
    </row>
    <row r="276" spans="1:8" x14ac:dyDescent="0.2">
      <c r="A276" s="1">
        <v>1</v>
      </c>
      <c r="B276">
        <v>1</v>
      </c>
      <c r="C276">
        <v>1</v>
      </c>
      <c r="D276">
        <v>618000</v>
      </c>
      <c r="E276">
        <v>1973</v>
      </c>
      <c r="F276">
        <v>705</v>
      </c>
      <c r="G276">
        <v>877</v>
      </c>
      <c r="H276">
        <v>72</v>
      </c>
    </row>
    <row r="277" spans="1:8" x14ac:dyDescent="0.2">
      <c r="A277" s="1">
        <v>1</v>
      </c>
      <c r="B277">
        <v>2</v>
      </c>
      <c r="C277">
        <v>2</v>
      </c>
      <c r="D277">
        <v>5950000</v>
      </c>
      <c r="E277">
        <v>1989</v>
      </c>
      <c r="F277">
        <v>3700</v>
      </c>
      <c r="G277">
        <v>1608</v>
      </c>
      <c r="H277">
        <v>83</v>
      </c>
    </row>
    <row r="278" spans="1:8" x14ac:dyDescent="0.2">
      <c r="A278" s="1">
        <v>1</v>
      </c>
      <c r="B278">
        <v>4</v>
      </c>
      <c r="C278">
        <v>4</v>
      </c>
      <c r="D278">
        <v>1800000</v>
      </c>
      <c r="E278">
        <v>1948</v>
      </c>
      <c r="F278">
        <v>2475</v>
      </c>
      <c r="G278">
        <v>727</v>
      </c>
      <c r="H278">
        <v>10</v>
      </c>
    </row>
    <row r="279" spans="1:8" x14ac:dyDescent="0.2">
      <c r="A279" s="1">
        <v>1</v>
      </c>
      <c r="B279">
        <v>2</v>
      </c>
      <c r="C279">
        <v>2.5</v>
      </c>
      <c r="D279">
        <v>2350000</v>
      </c>
      <c r="E279">
        <v>2008</v>
      </c>
      <c r="F279">
        <v>1314</v>
      </c>
      <c r="G279">
        <v>1788</v>
      </c>
      <c r="H279">
        <v>19</v>
      </c>
    </row>
    <row r="280" spans="1:8" x14ac:dyDescent="0.2">
      <c r="A280" s="1">
        <v>1</v>
      </c>
      <c r="B280">
        <v>1</v>
      </c>
      <c r="C280">
        <v>1</v>
      </c>
      <c r="D280">
        <v>740200</v>
      </c>
      <c r="E280">
        <v>1920</v>
      </c>
      <c r="F280">
        <v>989</v>
      </c>
      <c r="G280">
        <v>748</v>
      </c>
      <c r="H280">
        <v>41</v>
      </c>
    </row>
    <row r="281" spans="1:8" x14ac:dyDescent="0.2">
      <c r="A281" s="1">
        <v>1</v>
      </c>
      <c r="B281">
        <v>1</v>
      </c>
      <c r="C281">
        <v>1</v>
      </c>
      <c r="D281">
        <v>699000</v>
      </c>
      <c r="E281">
        <v>1982</v>
      </c>
      <c r="F281">
        <v>780</v>
      </c>
      <c r="G281">
        <v>896</v>
      </c>
      <c r="H281">
        <v>51</v>
      </c>
    </row>
    <row r="282" spans="1:8" x14ac:dyDescent="0.2">
      <c r="A282" s="1">
        <v>1</v>
      </c>
      <c r="B282">
        <v>2</v>
      </c>
      <c r="C282">
        <v>2</v>
      </c>
      <c r="D282">
        <v>958000</v>
      </c>
      <c r="E282">
        <v>2005</v>
      </c>
      <c r="F282">
        <v>915</v>
      </c>
      <c r="G282">
        <v>1047</v>
      </c>
      <c r="H282">
        <v>54</v>
      </c>
    </row>
    <row r="283" spans="1:8" x14ac:dyDescent="0.2">
      <c r="A283" s="1">
        <v>1</v>
      </c>
      <c r="B283">
        <v>2</v>
      </c>
      <c r="C283">
        <v>2</v>
      </c>
      <c r="D283">
        <v>1200000</v>
      </c>
      <c r="E283">
        <v>1909</v>
      </c>
      <c r="F283">
        <v>1302</v>
      </c>
      <c r="G283">
        <v>922</v>
      </c>
      <c r="H283">
        <v>56</v>
      </c>
    </row>
    <row r="284" spans="1:8" x14ac:dyDescent="0.2">
      <c r="A284" s="1">
        <v>1</v>
      </c>
      <c r="B284">
        <v>3</v>
      </c>
      <c r="C284">
        <v>3</v>
      </c>
      <c r="D284">
        <v>1575000</v>
      </c>
      <c r="E284">
        <v>1993</v>
      </c>
      <c r="F284">
        <v>2233</v>
      </c>
      <c r="G284">
        <v>705</v>
      </c>
      <c r="H284">
        <v>62</v>
      </c>
    </row>
    <row r="285" spans="1:8" x14ac:dyDescent="0.2">
      <c r="A285" s="1">
        <v>1</v>
      </c>
      <c r="B285">
        <v>2</v>
      </c>
      <c r="C285">
        <v>2</v>
      </c>
      <c r="D285">
        <v>1199000</v>
      </c>
      <c r="E285">
        <v>1964</v>
      </c>
      <c r="F285">
        <v>1100</v>
      </c>
      <c r="G285">
        <v>1090</v>
      </c>
      <c r="H285">
        <v>68</v>
      </c>
    </row>
    <row r="286" spans="1:8" x14ac:dyDescent="0.2">
      <c r="A286" s="1">
        <v>1</v>
      </c>
      <c r="B286">
        <v>1</v>
      </c>
      <c r="C286">
        <v>1</v>
      </c>
      <c r="D286">
        <v>529000</v>
      </c>
      <c r="E286">
        <v>1966</v>
      </c>
      <c r="F286">
        <v>791</v>
      </c>
      <c r="G286">
        <v>669</v>
      </c>
      <c r="H286">
        <v>69</v>
      </c>
    </row>
    <row r="287" spans="1:8" x14ac:dyDescent="0.2">
      <c r="A287" s="1">
        <v>1</v>
      </c>
      <c r="B287">
        <v>1</v>
      </c>
      <c r="C287">
        <v>1</v>
      </c>
      <c r="D287">
        <v>699000</v>
      </c>
      <c r="E287">
        <v>1984</v>
      </c>
      <c r="F287">
        <v>880</v>
      </c>
      <c r="G287">
        <v>794</v>
      </c>
      <c r="H287">
        <v>73</v>
      </c>
    </row>
    <row r="288" spans="1:8" x14ac:dyDescent="0.2">
      <c r="A288" s="1">
        <v>1</v>
      </c>
      <c r="B288">
        <v>3</v>
      </c>
      <c r="C288">
        <v>2</v>
      </c>
      <c r="D288">
        <v>1295000</v>
      </c>
      <c r="E288">
        <v>1926</v>
      </c>
      <c r="F288">
        <v>1675</v>
      </c>
      <c r="G288">
        <v>773</v>
      </c>
      <c r="H288">
        <v>77</v>
      </c>
    </row>
    <row r="289" spans="1:8" x14ac:dyDescent="0.2">
      <c r="A289" s="1">
        <v>1</v>
      </c>
      <c r="B289">
        <v>4</v>
      </c>
      <c r="C289">
        <v>4</v>
      </c>
      <c r="D289">
        <v>1800000</v>
      </c>
      <c r="E289">
        <v>1948</v>
      </c>
      <c r="F289">
        <v>2347</v>
      </c>
      <c r="G289">
        <v>767</v>
      </c>
      <c r="H289">
        <v>87</v>
      </c>
    </row>
    <row r="290" spans="1:8" x14ac:dyDescent="0.2">
      <c r="A290" s="1">
        <v>1</v>
      </c>
      <c r="B290">
        <v>1</v>
      </c>
      <c r="C290">
        <v>1</v>
      </c>
      <c r="D290">
        <v>795000</v>
      </c>
      <c r="E290">
        <v>2000</v>
      </c>
      <c r="F290">
        <v>990</v>
      </c>
      <c r="G290">
        <v>803</v>
      </c>
      <c r="H290">
        <v>7</v>
      </c>
    </row>
    <row r="291" spans="1:8" x14ac:dyDescent="0.2">
      <c r="A291" s="1">
        <v>1</v>
      </c>
      <c r="B291">
        <v>2</v>
      </c>
      <c r="C291">
        <v>2</v>
      </c>
      <c r="D291">
        <v>779000</v>
      </c>
      <c r="E291">
        <v>2007</v>
      </c>
      <c r="F291">
        <v>808</v>
      </c>
      <c r="G291">
        <v>964</v>
      </c>
      <c r="H291">
        <v>7</v>
      </c>
    </row>
    <row r="292" spans="1:8" x14ac:dyDescent="0.2">
      <c r="A292" s="1">
        <v>1</v>
      </c>
      <c r="B292">
        <v>1</v>
      </c>
      <c r="C292">
        <v>1.5</v>
      </c>
      <c r="D292">
        <v>378551</v>
      </c>
      <c r="E292">
        <v>2000</v>
      </c>
      <c r="F292">
        <v>1000</v>
      </c>
      <c r="G292">
        <v>379</v>
      </c>
      <c r="H292">
        <v>9</v>
      </c>
    </row>
    <row r="293" spans="1:8" x14ac:dyDescent="0.2">
      <c r="A293" s="1">
        <v>1</v>
      </c>
      <c r="B293">
        <v>4</v>
      </c>
      <c r="C293">
        <v>2.2999999999999998</v>
      </c>
      <c r="D293">
        <v>1398000</v>
      </c>
      <c r="E293">
        <v>1904</v>
      </c>
      <c r="F293">
        <v>2492</v>
      </c>
      <c r="G293">
        <v>561</v>
      </c>
      <c r="H293">
        <v>13</v>
      </c>
    </row>
    <row r="294" spans="1:8" x14ac:dyDescent="0.2">
      <c r="A294" s="1">
        <v>1</v>
      </c>
      <c r="B294">
        <v>2</v>
      </c>
      <c r="C294">
        <v>1.3</v>
      </c>
      <c r="D294">
        <v>1097000</v>
      </c>
      <c r="E294">
        <v>1904</v>
      </c>
      <c r="F294">
        <v>1493</v>
      </c>
      <c r="G294">
        <v>735</v>
      </c>
      <c r="H294">
        <v>14</v>
      </c>
    </row>
    <row r="295" spans="1:8" x14ac:dyDescent="0.2">
      <c r="A295" s="1">
        <v>1</v>
      </c>
      <c r="B295">
        <v>1</v>
      </c>
      <c r="C295">
        <v>1</v>
      </c>
      <c r="D295">
        <v>670000</v>
      </c>
      <c r="E295">
        <v>2014</v>
      </c>
      <c r="F295">
        <v>507</v>
      </c>
      <c r="G295">
        <v>1321</v>
      </c>
      <c r="H295">
        <v>20</v>
      </c>
    </row>
    <row r="296" spans="1:8" x14ac:dyDescent="0.2">
      <c r="A296" s="1">
        <v>1</v>
      </c>
      <c r="B296">
        <v>2</v>
      </c>
      <c r="C296">
        <v>2</v>
      </c>
      <c r="D296">
        <v>1199000</v>
      </c>
      <c r="E296">
        <v>2014</v>
      </c>
      <c r="F296">
        <v>943</v>
      </c>
      <c r="G296">
        <v>1271</v>
      </c>
      <c r="H296">
        <v>20</v>
      </c>
    </row>
    <row r="297" spans="1:8" x14ac:dyDescent="0.2">
      <c r="A297" s="1">
        <v>1</v>
      </c>
      <c r="B297">
        <v>2</v>
      </c>
      <c r="C297">
        <v>2</v>
      </c>
      <c r="D297">
        <v>1095000</v>
      </c>
      <c r="E297">
        <v>2010</v>
      </c>
      <c r="F297">
        <v>1135</v>
      </c>
      <c r="G297">
        <v>965</v>
      </c>
      <c r="H297">
        <v>30</v>
      </c>
    </row>
    <row r="298" spans="1:8" x14ac:dyDescent="0.2">
      <c r="A298" s="1">
        <v>1</v>
      </c>
      <c r="B298">
        <v>1</v>
      </c>
      <c r="C298">
        <v>2</v>
      </c>
      <c r="D298">
        <v>795000</v>
      </c>
      <c r="E298">
        <v>2014</v>
      </c>
      <c r="F298">
        <v>616</v>
      </c>
      <c r="G298">
        <v>1291</v>
      </c>
      <c r="H298">
        <v>31</v>
      </c>
    </row>
    <row r="299" spans="1:8" x14ac:dyDescent="0.2">
      <c r="A299" s="1">
        <v>1</v>
      </c>
      <c r="B299">
        <v>3</v>
      </c>
      <c r="C299">
        <v>2</v>
      </c>
      <c r="D299">
        <v>979000</v>
      </c>
      <c r="E299">
        <v>1900</v>
      </c>
      <c r="F299">
        <v>1440</v>
      </c>
      <c r="G299">
        <v>680</v>
      </c>
      <c r="H299">
        <v>33</v>
      </c>
    </row>
    <row r="300" spans="1:8" x14ac:dyDescent="0.2">
      <c r="A300" s="1">
        <v>1</v>
      </c>
      <c r="B300">
        <v>3</v>
      </c>
      <c r="C300">
        <v>3</v>
      </c>
      <c r="D300">
        <v>1488888</v>
      </c>
      <c r="E300">
        <v>1977</v>
      </c>
      <c r="F300">
        <v>2100</v>
      </c>
      <c r="G300">
        <v>709</v>
      </c>
      <c r="H300">
        <v>38</v>
      </c>
    </row>
    <row r="301" spans="1:8" x14ac:dyDescent="0.2">
      <c r="A301" s="1">
        <v>1</v>
      </c>
      <c r="B301">
        <v>3</v>
      </c>
      <c r="C301">
        <v>2</v>
      </c>
      <c r="D301">
        <v>1389000</v>
      </c>
      <c r="E301">
        <v>1908</v>
      </c>
      <c r="F301">
        <v>1546</v>
      </c>
      <c r="G301">
        <v>898</v>
      </c>
      <c r="H301">
        <v>55</v>
      </c>
    </row>
    <row r="302" spans="1:8" x14ac:dyDescent="0.2">
      <c r="A302" s="1">
        <v>1</v>
      </c>
      <c r="B302">
        <v>3</v>
      </c>
      <c r="C302">
        <v>2</v>
      </c>
      <c r="D302">
        <v>1389000</v>
      </c>
      <c r="E302">
        <v>1908</v>
      </c>
      <c r="F302">
        <v>1546</v>
      </c>
      <c r="G302">
        <v>898</v>
      </c>
      <c r="H302">
        <v>55</v>
      </c>
    </row>
    <row r="303" spans="1:8" x14ac:dyDescent="0.2">
      <c r="A303" s="1">
        <v>1</v>
      </c>
      <c r="B303">
        <v>4</v>
      </c>
      <c r="C303">
        <v>2</v>
      </c>
      <c r="D303">
        <v>1099000</v>
      </c>
      <c r="E303">
        <v>1962</v>
      </c>
      <c r="F303">
        <v>1267</v>
      </c>
      <c r="G303">
        <v>867</v>
      </c>
      <c r="H303">
        <v>69</v>
      </c>
    </row>
    <row r="304" spans="1:8" x14ac:dyDescent="0.2">
      <c r="A304" s="1">
        <v>1</v>
      </c>
      <c r="B304">
        <v>3</v>
      </c>
      <c r="C304">
        <v>3.5</v>
      </c>
      <c r="D304">
        <v>1799000</v>
      </c>
      <c r="E304">
        <v>1900</v>
      </c>
      <c r="F304">
        <v>2449</v>
      </c>
      <c r="G304">
        <v>735</v>
      </c>
      <c r="H304">
        <v>75</v>
      </c>
    </row>
    <row r="305" spans="1:8" x14ac:dyDescent="0.2">
      <c r="A305" s="1">
        <v>1</v>
      </c>
      <c r="B305">
        <v>3</v>
      </c>
      <c r="C305">
        <v>2</v>
      </c>
      <c r="D305">
        <v>1250000</v>
      </c>
      <c r="E305">
        <v>1924</v>
      </c>
      <c r="F305">
        <v>1450</v>
      </c>
      <c r="G305">
        <v>862</v>
      </c>
      <c r="H305">
        <v>83</v>
      </c>
    </row>
    <row r="306" spans="1:8" x14ac:dyDescent="0.2">
      <c r="A306" s="1">
        <v>1</v>
      </c>
      <c r="B306">
        <v>3</v>
      </c>
      <c r="C306">
        <v>2</v>
      </c>
      <c r="D306">
        <v>998000</v>
      </c>
      <c r="E306">
        <v>1907</v>
      </c>
      <c r="F306">
        <v>1464</v>
      </c>
      <c r="G306">
        <v>682</v>
      </c>
      <c r="H306">
        <v>84</v>
      </c>
    </row>
    <row r="307" spans="1:8" x14ac:dyDescent="0.2">
      <c r="A307" s="1">
        <v>1</v>
      </c>
      <c r="B307">
        <v>3</v>
      </c>
      <c r="C307">
        <v>2.5</v>
      </c>
      <c r="D307">
        <v>1300000</v>
      </c>
      <c r="E307">
        <v>1975</v>
      </c>
      <c r="F307">
        <v>1642</v>
      </c>
      <c r="G307">
        <v>792</v>
      </c>
      <c r="H307">
        <v>4</v>
      </c>
    </row>
    <row r="308" spans="1:8" x14ac:dyDescent="0.2">
      <c r="A308" s="1">
        <v>1</v>
      </c>
      <c r="B308">
        <v>1</v>
      </c>
      <c r="C308">
        <v>1</v>
      </c>
      <c r="D308">
        <v>539000</v>
      </c>
      <c r="E308">
        <v>2000</v>
      </c>
      <c r="F308">
        <v>709</v>
      </c>
      <c r="G308">
        <v>760</v>
      </c>
      <c r="H308">
        <v>5</v>
      </c>
    </row>
    <row r="309" spans="1:8" x14ac:dyDescent="0.2">
      <c r="A309" s="1">
        <v>1</v>
      </c>
      <c r="B309">
        <v>1</v>
      </c>
      <c r="C309">
        <v>1</v>
      </c>
      <c r="D309">
        <v>735000</v>
      </c>
      <c r="E309">
        <v>1983</v>
      </c>
      <c r="F309">
        <v>779</v>
      </c>
      <c r="G309">
        <v>944</v>
      </c>
      <c r="H309">
        <v>12</v>
      </c>
    </row>
    <row r="310" spans="1:8" x14ac:dyDescent="0.2">
      <c r="A310" s="1">
        <v>1</v>
      </c>
      <c r="B310">
        <v>3</v>
      </c>
      <c r="C310">
        <v>2</v>
      </c>
      <c r="D310">
        <v>688000</v>
      </c>
      <c r="E310">
        <v>1942</v>
      </c>
      <c r="F310">
        <v>1441</v>
      </c>
      <c r="G310">
        <v>477</v>
      </c>
      <c r="H310">
        <v>34</v>
      </c>
    </row>
    <row r="311" spans="1:8" x14ac:dyDescent="0.2">
      <c r="A311" s="1">
        <v>1</v>
      </c>
      <c r="B311">
        <v>2</v>
      </c>
      <c r="C311">
        <v>1</v>
      </c>
      <c r="D311">
        <v>859000</v>
      </c>
      <c r="E311">
        <v>1890</v>
      </c>
      <c r="F311">
        <v>1100</v>
      </c>
      <c r="G311">
        <v>781</v>
      </c>
      <c r="H311">
        <v>44</v>
      </c>
    </row>
    <row r="312" spans="1:8" x14ac:dyDescent="0.2">
      <c r="A312" s="1">
        <v>1</v>
      </c>
      <c r="B312">
        <v>3</v>
      </c>
      <c r="C312">
        <v>2</v>
      </c>
      <c r="D312">
        <v>699000</v>
      </c>
      <c r="E312">
        <v>1964</v>
      </c>
      <c r="F312">
        <v>1250</v>
      </c>
      <c r="G312">
        <v>559</v>
      </c>
      <c r="H312">
        <v>48</v>
      </c>
    </row>
    <row r="313" spans="1:8" x14ac:dyDescent="0.2">
      <c r="A313" s="1">
        <v>1</v>
      </c>
      <c r="B313">
        <v>2</v>
      </c>
      <c r="C313">
        <v>1</v>
      </c>
      <c r="D313">
        <v>750000</v>
      </c>
      <c r="E313">
        <v>1924</v>
      </c>
      <c r="F313">
        <v>980</v>
      </c>
      <c r="G313">
        <v>765</v>
      </c>
      <c r="H313">
        <v>48</v>
      </c>
    </row>
    <row r="314" spans="1:8" x14ac:dyDescent="0.2">
      <c r="A314" s="1">
        <v>1</v>
      </c>
      <c r="B314">
        <v>3</v>
      </c>
      <c r="C314">
        <v>2</v>
      </c>
      <c r="D314">
        <v>549000</v>
      </c>
      <c r="E314">
        <v>1915</v>
      </c>
      <c r="F314">
        <v>1972</v>
      </c>
      <c r="G314">
        <v>278</v>
      </c>
      <c r="H314">
        <v>51</v>
      </c>
    </row>
    <row r="315" spans="1:8" x14ac:dyDescent="0.2">
      <c r="A315" s="1">
        <v>1</v>
      </c>
      <c r="B315">
        <v>6</v>
      </c>
      <c r="C315">
        <v>3</v>
      </c>
      <c r="D315">
        <v>1600000</v>
      </c>
      <c r="E315">
        <v>1926</v>
      </c>
      <c r="F315">
        <v>2567</v>
      </c>
      <c r="G315">
        <v>623</v>
      </c>
      <c r="H315">
        <v>52</v>
      </c>
    </row>
    <row r="316" spans="1:8" x14ac:dyDescent="0.2">
      <c r="A316" s="1">
        <v>1</v>
      </c>
      <c r="B316">
        <v>2</v>
      </c>
      <c r="C316">
        <v>2</v>
      </c>
      <c r="D316">
        <v>875000</v>
      </c>
      <c r="E316">
        <v>1909</v>
      </c>
      <c r="F316">
        <v>1700</v>
      </c>
      <c r="G316">
        <v>515</v>
      </c>
      <c r="H316">
        <v>54</v>
      </c>
    </row>
    <row r="317" spans="1:8" x14ac:dyDescent="0.2">
      <c r="A317" s="1">
        <v>1</v>
      </c>
      <c r="B317">
        <v>4</v>
      </c>
      <c r="C317">
        <v>3</v>
      </c>
      <c r="D317">
        <v>900000</v>
      </c>
      <c r="E317">
        <v>2003</v>
      </c>
      <c r="F317">
        <v>1870</v>
      </c>
      <c r="G317">
        <v>481</v>
      </c>
      <c r="H317">
        <v>54</v>
      </c>
    </row>
    <row r="318" spans="1:8" x14ac:dyDescent="0.2">
      <c r="A318" s="1">
        <v>1</v>
      </c>
      <c r="B318">
        <v>3</v>
      </c>
      <c r="C318">
        <v>2</v>
      </c>
      <c r="D318">
        <v>748000</v>
      </c>
      <c r="E318">
        <v>1930</v>
      </c>
      <c r="F318">
        <v>1522</v>
      </c>
      <c r="G318">
        <v>491</v>
      </c>
      <c r="H318">
        <v>54</v>
      </c>
    </row>
    <row r="319" spans="1:8" x14ac:dyDescent="0.2">
      <c r="A319" s="1">
        <v>1</v>
      </c>
      <c r="B319">
        <v>2</v>
      </c>
      <c r="C319">
        <v>1.5</v>
      </c>
      <c r="D319">
        <v>749000</v>
      </c>
      <c r="E319">
        <v>1949</v>
      </c>
      <c r="F319">
        <v>1348</v>
      </c>
      <c r="G319">
        <v>556</v>
      </c>
      <c r="H319">
        <v>56</v>
      </c>
    </row>
    <row r="320" spans="1:8" x14ac:dyDescent="0.2">
      <c r="A320" s="1">
        <v>1</v>
      </c>
      <c r="B320">
        <v>2</v>
      </c>
      <c r="C320">
        <v>1</v>
      </c>
      <c r="D320">
        <v>599000</v>
      </c>
      <c r="E320">
        <v>1942</v>
      </c>
      <c r="F320">
        <v>707</v>
      </c>
      <c r="G320">
        <v>847</v>
      </c>
      <c r="H320">
        <v>61</v>
      </c>
    </row>
    <row r="321" spans="1:8" x14ac:dyDescent="0.2">
      <c r="A321" s="1">
        <v>1</v>
      </c>
      <c r="B321">
        <v>3</v>
      </c>
      <c r="C321">
        <v>1</v>
      </c>
      <c r="D321">
        <v>648800</v>
      </c>
      <c r="E321">
        <v>1940</v>
      </c>
      <c r="F321">
        <v>1325</v>
      </c>
      <c r="G321">
        <v>490</v>
      </c>
      <c r="H321">
        <v>66</v>
      </c>
    </row>
    <row r="322" spans="1:8" x14ac:dyDescent="0.2">
      <c r="A322" s="1">
        <v>1</v>
      </c>
      <c r="B322">
        <v>2</v>
      </c>
      <c r="C322">
        <v>2</v>
      </c>
      <c r="D322">
        <v>649000</v>
      </c>
      <c r="E322">
        <v>1924</v>
      </c>
      <c r="F322">
        <v>1320</v>
      </c>
      <c r="G322">
        <v>492</v>
      </c>
      <c r="H322">
        <v>72</v>
      </c>
    </row>
    <row r="323" spans="1:8" x14ac:dyDescent="0.2">
      <c r="A323" s="1">
        <v>1</v>
      </c>
      <c r="B323">
        <v>2</v>
      </c>
      <c r="C323">
        <v>1</v>
      </c>
      <c r="D323">
        <v>798888</v>
      </c>
      <c r="E323">
        <v>1929</v>
      </c>
      <c r="F323">
        <v>1025</v>
      </c>
      <c r="G323">
        <v>779</v>
      </c>
      <c r="H323">
        <v>74</v>
      </c>
    </row>
    <row r="324" spans="1:8" x14ac:dyDescent="0.2">
      <c r="A324" s="1">
        <v>1</v>
      </c>
      <c r="B324">
        <v>5</v>
      </c>
      <c r="C324">
        <v>2</v>
      </c>
      <c r="D324">
        <v>899000</v>
      </c>
      <c r="E324">
        <v>1972</v>
      </c>
      <c r="F324">
        <v>1940</v>
      </c>
      <c r="G324">
        <v>463</v>
      </c>
      <c r="H324">
        <v>81</v>
      </c>
    </row>
    <row r="325" spans="1:8" x14ac:dyDescent="0.2">
      <c r="A325" s="1">
        <v>1</v>
      </c>
      <c r="B325">
        <v>3</v>
      </c>
      <c r="C325">
        <v>1.5</v>
      </c>
      <c r="D325">
        <v>699000</v>
      </c>
      <c r="E325">
        <v>1910</v>
      </c>
      <c r="F325">
        <v>1625</v>
      </c>
      <c r="G325">
        <v>430</v>
      </c>
      <c r="H325">
        <v>94</v>
      </c>
    </row>
    <row r="326" spans="1:8" x14ac:dyDescent="0.2">
      <c r="A326" s="1">
        <v>1</v>
      </c>
      <c r="B326">
        <v>3</v>
      </c>
      <c r="C326">
        <v>2</v>
      </c>
      <c r="D326">
        <v>749000</v>
      </c>
      <c r="E326">
        <v>1907</v>
      </c>
      <c r="F326">
        <v>1513</v>
      </c>
      <c r="G326">
        <v>495</v>
      </c>
      <c r="H326">
        <v>95</v>
      </c>
    </row>
    <row r="327" spans="1:8" x14ac:dyDescent="0.2">
      <c r="A327" s="1">
        <v>1</v>
      </c>
      <c r="B327">
        <v>3</v>
      </c>
      <c r="C327">
        <v>2</v>
      </c>
      <c r="D327">
        <v>535000</v>
      </c>
      <c r="E327">
        <v>1967</v>
      </c>
      <c r="F327">
        <v>1824</v>
      </c>
      <c r="G327">
        <v>293</v>
      </c>
      <c r="H327">
        <v>102</v>
      </c>
    </row>
    <row r="328" spans="1:8" x14ac:dyDescent="0.2">
      <c r="A328" s="1">
        <v>1</v>
      </c>
      <c r="B328">
        <v>2</v>
      </c>
      <c r="C328">
        <v>1</v>
      </c>
      <c r="D328">
        <v>699000</v>
      </c>
      <c r="E328">
        <v>1913</v>
      </c>
      <c r="F328">
        <v>900</v>
      </c>
      <c r="G328">
        <v>777</v>
      </c>
      <c r="H328">
        <v>108</v>
      </c>
    </row>
    <row r="329" spans="1:8" x14ac:dyDescent="0.2">
      <c r="A329" s="1">
        <v>1</v>
      </c>
      <c r="B329">
        <v>2</v>
      </c>
      <c r="C329">
        <v>1</v>
      </c>
      <c r="D329">
        <v>699000</v>
      </c>
      <c r="E329">
        <v>1913</v>
      </c>
      <c r="F329">
        <v>900</v>
      </c>
      <c r="G329">
        <v>777</v>
      </c>
      <c r="H329">
        <v>108</v>
      </c>
    </row>
    <row r="330" spans="1:8" x14ac:dyDescent="0.2">
      <c r="A330" s="1">
        <v>1</v>
      </c>
      <c r="B330">
        <v>2</v>
      </c>
      <c r="C330">
        <v>1</v>
      </c>
      <c r="D330">
        <v>500000</v>
      </c>
      <c r="E330">
        <v>1958</v>
      </c>
      <c r="F330">
        <v>1166</v>
      </c>
      <c r="G330">
        <v>429</v>
      </c>
      <c r="H330">
        <v>136</v>
      </c>
    </row>
    <row r="331" spans="1:8" x14ac:dyDescent="0.2">
      <c r="A331" s="1">
        <v>1</v>
      </c>
      <c r="B331">
        <v>3</v>
      </c>
      <c r="C331">
        <v>2.5</v>
      </c>
      <c r="D331">
        <v>879000</v>
      </c>
      <c r="E331">
        <v>1981</v>
      </c>
      <c r="F331">
        <v>2111</v>
      </c>
      <c r="G331">
        <v>416</v>
      </c>
      <c r="H331">
        <v>139</v>
      </c>
    </row>
    <row r="332" spans="1:8" x14ac:dyDescent="0.2">
      <c r="A332" s="1">
        <v>1</v>
      </c>
      <c r="B332">
        <v>3</v>
      </c>
      <c r="C332">
        <v>2.5</v>
      </c>
      <c r="D332">
        <v>879000</v>
      </c>
      <c r="E332">
        <v>1981</v>
      </c>
      <c r="F332">
        <v>2111</v>
      </c>
      <c r="G332">
        <v>416</v>
      </c>
      <c r="H332">
        <v>139</v>
      </c>
    </row>
    <row r="333" spans="1:8" x14ac:dyDescent="0.2">
      <c r="A333" s="1">
        <v>1</v>
      </c>
      <c r="B333">
        <v>4</v>
      </c>
      <c r="C333">
        <v>2.5</v>
      </c>
      <c r="D333">
        <v>699900</v>
      </c>
      <c r="E333">
        <v>1982</v>
      </c>
      <c r="F333">
        <v>1752</v>
      </c>
      <c r="G333">
        <v>399</v>
      </c>
      <c r="H333">
        <v>140</v>
      </c>
    </row>
    <row r="334" spans="1:8" x14ac:dyDescent="0.2">
      <c r="A334" s="1">
        <v>1</v>
      </c>
      <c r="B334">
        <v>2</v>
      </c>
      <c r="C334">
        <v>1</v>
      </c>
      <c r="D334">
        <v>688000</v>
      </c>
      <c r="E334">
        <v>1950</v>
      </c>
      <c r="F334">
        <v>1145</v>
      </c>
      <c r="G334">
        <v>601</v>
      </c>
      <c r="H334">
        <v>143</v>
      </c>
    </row>
    <row r="335" spans="1:8" x14ac:dyDescent="0.2">
      <c r="A335" s="1">
        <v>1</v>
      </c>
      <c r="B335">
        <v>3</v>
      </c>
      <c r="C335">
        <v>2</v>
      </c>
      <c r="D335">
        <v>1195000</v>
      </c>
      <c r="E335">
        <v>1907</v>
      </c>
      <c r="F335">
        <v>1396</v>
      </c>
      <c r="G335">
        <v>856</v>
      </c>
      <c r="H335">
        <v>33</v>
      </c>
    </row>
    <row r="336" spans="1:8" x14ac:dyDescent="0.2">
      <c r="A336" s="1">
        <v>1</v>
      </c>
      <c r="B336">
        <v>3</v>
      </c>
      <c r="C336">
        <v>2</v>
      </c>
      <c r="D336">
        <v>1195000</v>
      </c>
      <c r="E336">
        <v>1907</v>
      </c>
      <c r="F336">
        <v>1396</v>
      </c>
      <c r="G336">
        <v>856</v>
      </c>
      <c r="H336">
        <v>33</v>
      </c>
    </row>
    <row r="337" spans="1:8" x14ac:dyDescent="0.2">
      <c r="A337" s="1">
        <v>1</v>
      </c>
      <c r="B337">
        <v>1</v>
      </c>
      <c r="C337">
        <v>1</v>
      </c>
      <c r="D337">
        <v>697000</v>
      </c>
      <c r="E337">
        <v>1922</v>
      </c>
      <c r="F337">
        <v>694</v>
      </c>
      <c r="G337">
        <v>1004</v>
      </c>
      <c r="H337">
        <v>50</v>
      </c>
    </row>
    <row r="338" spans="1:8" x14ac:dyDescent="0.2">
      <c r="A338" s="1">
        <v>1</v>
      </c>
      <c r="B338">
        <v>5</v>
      </c>
      <c r="C338">
        <v>3.5</v>
      </c>
      <c r="D338">
        <v>3995000</v>
      </c>
      <c r="E338">
        <v>1905</v>
      </c>
      <c r="F338">
        <v>3350</v>
      </c>
      <c r="G338">
        <v>1193</v>
      </c>
      <c r="H338">
        <v>59</v>
      </c>
    </row>
    <row r="339" spans="1:8" x14ac:dyDescent="0.2">
      <c r="A339" s="1">
        <v>1</v>
      </c>
      <c r="B339">
        <v>1</v>
      </c>
      <c r="C339">
        <v>1</v>
      </c>
      <c r="D339">
        <v>650000</v>
      </c>
      <c r="E339">
        <v>1955</v>
      </c>
      <c r="F339">
        <v>600</v>
      </c>
      <c r="G339">
        <v>1083</v>
      </c>
      <c r="H339">
        <v>74</v>
      </c>
    </row>
    <row r="340" spans="1:8" x14ac:dyDescent="0.2">
      <c r="A340" s="1">
        <v>1</v>
      </c>
      <c r="B340">
        <v>1</v>
      </c>
      <c r="C340">
        <v>1</v>
      </c>
      <c r="D340">
        <v>650000</v>
      </c>
      <c r="E340">
        <v>1955</v>
      </c>
      <c r="F340">
        <v>600</v>
      </c>
      <c r="G340">
        <v>1083</v>
      </c>
      <c r="H340">
        <v>74</v>
      </c>
    </row>
    <row r="341" spans="1:8" x14ac:dyDescent="0.2">
      <c r="A341" s="1">
        <v>1</v>
      </c>
      <c r="B341">
        <v>1</v>
      </c>
      <c r="C341">
        <v>1</v>
      </c>
      <c r="D341">
        <v>775000</v>
      </c>
      <c r="E341">
        <v>1955</v>
      </c>
      <c r="F341">
        <v>600</v>
      </c>
      <c r="G341">
        <v>1292</v>
      </c>
      <c r="H341">
        <v>74</v>
      </c>
    </row>
    <row r="342" spans="1:8" x14ac:dyDescent="0.2">
      <c r="A342" s="1">
        <v>1</v>
      </c>
      <c r="B342">
        <v>1</v>
      </c>
      <c r="C342">
        <v>1</v>
      </c>
      <c r="D342">
        <v>825000</v>
      </c>
      <c r="E342">
        <v>1955</v>
      </c>
      <c r="F342">
        <v>600</v>
      </c>
      <c r="G342">
        <v>1375</v>
      </c>
      <c r="H342">
        <v>74</v>
      </c>
    </row>
    <row r="343" spans="1:8" x14ac:dyDescent="0.2">
      <c r="A343" s="1">
        <v>1</v>
      </c>
      <c r="B343">
        <v>2</v>
      </c>
      <c r="C343">
        <v>1</v>
      </c>
      <c r="D343">
        <v>699000</v>
      </c>
      <c r="E343">
        <v>1907</v>
      </c>
      <c r="F343">
        <v>915</v>
      </c>
      <c r="G343">
        <v>764</v>
      </c>
      <c r="H343">
        <v>89</v>
      </c>
    </row>
    <row r="344" spans="1:8" x14ac:dyDescent="0.2">
      <c r="A344" s="1">
        <v>1</v>
      </c>
      <c r="B344">
        <v>3</v>
      </c>
      <c r="C344">
        <v>2</v>
      </c>
      <c r="D344">
        <v>1495000</v>
      </c>
      <c r="E344">
        <v>1927</v>
      </c>
      <c r="F344">
        <v>1520</v>
      </c>
      <c r="G344">
        <v>984</v>
      </c>
      <c r="H344">
        <v>105</v>
      </c>
    </row>
    <row r="345" spans="1:8" x14ac:dyDescent="0.2">
      <c r="A345" s="1">
        <v>1</v>
      </c>
      <c r="B345">
        <v>4</v>
      </c>
      <c r="C345">
        <v>4.5</v>
      </c>
      <c r="D345">
        <v>5200000</v>
      </c>
      <c r="E345">
        <v>1952</v>
      </c>
      <c r="F345">
        <v>4813</v>
      </c>
      <c r="G345">
        <v>1080</v>
      </c>
      <c r="H345">
        <v>238</v>
      </c>
    </row>
    <row r="346" spans="1:8" x14ac:dyDescent="0.2">
      <c r="A346" s="1">
        <v>1</v>
      </c>
      <c r="B346">
        <v>2</v>
      </c>
      <c r="C346">
        <v>2</v>
      </c>
      <c r="D346">
        <v>989000</v>
      </c>
      <c r="E346">
        <v>1984</v>
      </c>
      <c r="F346">
        <v>988</v>
      </c>
      <c r="G346">
        <v>1001</v>
      </c>
      <c r="H346">
        <v>46</v>
      </c>
    </row>
    <row r="347" spans="1:8" x14ac:dyDescent="0.2">
      <c r="A347" s="1">
        <v>1</v>
      </c>
      <c r="B347">
        <v>3</v>
      </c>
      <c r="C347">
        <v>1</v>
      </c>
      <c r="D347">
        <v>1095000</v>
      </c>
      <c r="E347">
        <v>1895</v>
      </c>
      <c r="F347">
        <v>1465</v>
      </c>
      <c r="G347">
        <v>747</v>
      </c>
      <c r="H347">
        <v>68</v>
      </c>
    </row>
    <row r="348" spans="1:8" x14ac:dyDescent="0.2">
      <c r="A348" s="1">
        <v>1</v>
      </c>
      <c r="B348">
        <v>1</v>
      </c>
      <c r="C348">
        <v>1</v>
      </c>
      <c r="D348">
        <v>725000</v>
      </c>
      <c r="E348">
        <v>1900</v>
      </c>
      <c r="F348">
        <v>811</v>
      </c>
      <c r="G348">
        <v>894</v>
      </c>
      <c r="H348">
        <v>70</v>
      </c>
    </row>
    <row r="349" spans="1:8" x14ac:dyDescent="0.2">
      <c r="A349" s="1">
        <v>1</v>
      </c>
      <c r="B349">
        <v>1</v>
      </c>
      <c r="C349">
        <v>1</v>
      </c>
      <c r="D349">
        <v>725000</v>
      </c>
      <c r="E349">
        <v>1900</v>
      </c>
      <c r="F349">
        <v>811</v>
      </c>
      <c r="G349">
        <v>894</v>
      </c>
      <c r="H349">
        <v>70</v>
      </c>
    </row>
    <row r="350" spans="1:8" x14ac:dyDescent="0.2">
      <c r="A350" s="1">
        <v>1</v>
      </c>
      <c r="B350">
        <v>4</v>
      </c>
      <c r="C350">
        <v>4</v>
      </c>
      <c r="D350">
        <v>2650000</v>
      </c>
      <c r="E350">
        <v>1900</v>
      </c>
      <c r="F350">
        <v>3816</v>
      </c>
      <c r="G350">
        <v>694</v>
      </c>
      <c r="H350">
        <v>75</v>
      </c>
    </row>
    <row r="351" spans="1:8" x14ac:dyDescent="0.2">
      <c r="A351" s="1">
        <v>1</v>
      </c>
      <c r="B351">
        <v>2</v>
      </c>
      <c r="C351">
        <v>2</v>
      </c>
      <c r="D351">
        <v>1680000</v>
      </c>
      <c r="E351">
        <v>1962</v>
      </c>
      <c r="F351">
        <v>1850</v>
      </c>
      <c r="G351">
        <v>908</v>
      </c>
      <c r="H351">
        <v>89</v>
      </c>
    </row>
    <row r="352" spans="1:8" x14ac:dyDescent="0.2">
      <c r="A352" s="1">
        <v>1</v>
      </c>
      <c r="B352">
        <v>1</v>
      </c>
      <c r="C352">
        <v>1</v>
      </c>
      <c r="D352">
        <v>1199000</v>
      </c>
      <c r="E352">
        <v>1906</v>
      </c>
      <c r="F352">
        <v>1139</v>
      </c>
      <c r="G352">
        <v>1053</v>
      </c>
      <c r="H352">
        <v>91</v>
      </c>
    </row>
    <row r="353" spans="1:8" x14ac:dyDescent="0.2">
      <c r="A353" s="1">
        <v>1</v>
      </c>
      <c r="B353">
        <v>3</v>
      </c>
      <c r="C353">
        <v>2.5</v>
      </c>
      <c r="D353">
        <v>799000</v>
      </c>
      <c r="E353">
        <v>1947</v>
      </c>
      <c r="F353">
        <v>1400</v>
      </c>
      <c r="G353">
        <v>571</v>
      </c>
      <c r="H353">
        <v>35</v>
      </c>
    </row>
    <row r="354" spans="1:8" x14ac:dyDescent="0.2">
      <c r="A354" s="1">
        <v>1</v>
      </c>
      <c r="B354">
        <v>3</v>
      </c>
      <c r="C354">
        <v>2</v>
      </c>
      <c r="D354">
        <v>795000</v>
      </c>
      <c r="E354">
        <v>1954</v>
      </c>
      <c r="F354">
        <v>1350</v>
      </c>
      <c r="G354">
        <v>589</v>
      </c>
      <c r="H354">
        <v>36</v>
      </c>
    </row>
    <row r="355" spans="1:8" x14ac:dyDescent="0.2">
      <c r="A355" s="1">
        <v>1</v>
      </c>
      <c r="B355">
        <v>2</v>
      </c>
      <c r="C355">
        <v>1</v>
      </c>
      <c r="D355">
        <v>699000</v>
      </c>
      <c r="E355">
        <v>1944</v>
      </c>
      <c r="F355">
        <v>995</v>
      </c>
      <c r="G355">
        <v>703</v>
      </c>
      <c r="H355">
        <v>41</v>
      </c>
    </row>
    <row r="356" spans="1:8" x14ac:dyDescent="0.2">
      <c r="A356" s="1">
        <v>1</v>
      </c>
      <c r="B356">
        <v>3</v>
      </c>
      <c r="C356">
        <v>2</v>
      </c>
      <c r="D356">
        <v>848000</v>
      </c>
      <c r="E356">
        <v>1940</v>
      </c>
      <c r="F356">
        <v>1500</v>
      </c>
      <c r="G356">
        <v>565</v>
      </c>
      <c r="H356">
        <v>42</v>
      </c>
    </row>
    <row r="357" spans="1:8" x14ac:dyDescent="0.2">
      <c r="A357" s="1">
        <v>1</v>
      </c>
      <c r="B357">
        <v>3</v>
      </c>
      <c r="C357">
        <v>2</v>
      </c>
      <c r="D357">
        <v>899000</v>
      </c>
      <c r="E357">
        <v>1948</v>
      </c>
      <c r="F357">
        <v>1665</v>
      </c>
      <c r="G357">
        <v>540</v>
      </c>
      <c r="H357">
        <v>52</v>
      </c>
    </row>
    <row r="358" spans="1:8" x14ac:dyDescent="0.2">
      <c r="A358" s="1">
        <v>1</v>
      </c>
      <c r="B358">
        <v>3</v>
      </c>
      <c r="C358">
        <v>2</v>
      </c>
      <c r="D358">
        <v>899000</v>
      </c>
      <c r="E358">
        <v>1948</v>
      </c>
      <c r="F358">
        <v>1665</v>
      </c>
      <c r="G358">
        <v>540</v>
      </c>
      <c r="H358">
        <v>52</v>
      </c>
    </row>
    <row r="359" spans="1:8" x14ac:dyDescent="0.2">
      <c r="A359" s="1">
        <v>1</v>
      </c>
      <c r="B359">
        <v>6</v>
      </c>
      <c r="C359">
        <v>4</v>
      </c>
      <c r="D359">
        <v>1198000</v>
      </c>
      <c r="E359">
        <v>1937</v>
      </c>
      <c r="F359">
        <v>1965</v>
      </c>
      <c r="G359">
        <v>610</v>
      </c>
      <c r="H359">
        <v>79</v>
      </c>
    </row>
    <row r="360" spans="1:8" x14ac:dyDescent="0.2">
      <c r="A360" s="1">
        <v>1</v>
      </c>
      <c r="B360">
        <v>3</v>
      </c>
      <c r="C360">
        <v>3</v>
      </c>
      <c r="D360">
        <v>1100000</v>
      </c>
      <c r="E360">
        <v>1925</v>
      </c>
      <c r="F360">
        <v>2633</v>
      </c>
      <c r="G360">
        <v>418</v>
      </c>
      <c r="H360">
        <v>91</v>
      </c>
    </row>
    <row r="361" spans="1:8" x14ac:dyDescent="0.2">
      <c r="A361" s="1">
        <v>1</v>
      </c>
      <c r="B361">
        <v>6</v>
      </c>
      <c r="C361">
        <v>3.5</v>
      </c>
      <c r="D361">
        <v>949000</v>
      </c>
      <c r="E361">
        <v>1918</v>
      </c>
      <c r="F361">
        <v>2473</v>
      </c>
      <c r="G361">
        <v>384</v>
      </c>
      <c r="H361">
        <v>97</v>
      </c>
    </row>
    <row r="362" spans="1:8" x14ac:dyDescent="0.2">
      <c r="A362" s="1">
        <v>1</v>
      </c>
      <c r="B362">
        <v>5</v>
      </c>
      <c r="C362">
        <v>5</v>
      </c>
      <c r="D362">
        <v>2990000</v>
      </c>
      <c r="E362">
        <v>2014</v>
      </c>
      <c r="F362">
        <v>5000</v>
      </c>
      <c r="G362">
        <v>598</v>
      </c>
      <c r="H362">
        <v>108</v>
      </c>
    </row>
    <row r="363" spans="1:8" x14ac:dyDescent="0.2">
      <c r="A363" s="1">
        <v>1</v>
      </c>
      <c r="B363">
        <v>4</v>
      </c>
      <c r="C363">
        <v>3</v>
      </c>
      <c r="D363">
        <v>1338800</v>
      </c>
      <c r="E363">
        <v>1940</v>
      </c>
      <c r="F363">
        <v>2330</v>
      </c>
      <c r="G363">
        <v>575</v>
      </c>
      <c r="H363">
        <v>119</v>
      </c>
    </row>
    <row r="364" spans="1:8" x14ac:dyDescent="0.2">
      <c r="A364" s="1">
        <v>1</v>
      </c>
      <c r="B364">
        <v>3</v>
      </c>
      <c r="C364">
        <v>2.5</v>
      </c>
      <c r="D364">
        <v>1388000</v>
      </c>
      <c r="E364">
        <v>1928</v>
      </c>
      <c r="F364">
        <v>1905</v>
      </c>
      <c r="G364">
        <v>729</v>
      </c>
      <c r="H364">
        <v>160</v>
      </c>
    </row>
    <row r="365" spans="1:8" x14ac:dyDescent="0.2">
      <c r="A365" s="1">
        <v>1</v>
      </c>
      <c r="B365">
        <v>3</v>
      </c>
      <c r="C365">
        <v>2</v>
      </c>
      <c r="D365">
        <v>989000</v>
      </c>
      <c r="E365">
        <v>1940</v>
      </c>
      <c r="F365">
        <v>1603</v>
      </c>
      <c r="G365">
        <v>617</v>
      </c>
      <c r="H365">
        <v>227</v>
      </c>
    </row>
    <row r="366" spans="1:8" x14ac:dyDescent="0.2">
      <c r="A366" s="1">
        <v>1</v>
      </c>
      <c r="B366">
        <v>3</v>
      </c>
      <c r="C366">
        <v>1</v>
      </c>
      <c r="D366">
        <v>1295000</v>
      </c>
      <c r="E366">
        <v>1890</v>
      </c>
      <c r="F366">
        <v>1772</v>
      </c>
      <c r="G366">
        <v>731</v>
      </c>
      <c r="H366">
        <v>65</v>
      </c>
    </row>
    <row r="367" spans="1:8" x14ac:dyDescent="0.2">
      <c r="A367" s="1">
        <v>1</v>
      </c>
      <c r="B367">
        <v>6</v>
      </c>
      <c r="C367">
        <v>6</v>
      </c>
      <c r="D367">
        <v>6895000</v>
      </c>
      <c r="E367">
        <v>1902</v>
      </c>
      <c r="F367">
        <v>7800</v>
      </c>
      <c r="G367">
        <v>884</v>
      </c>
      <c r="H367">
        <v>67</v>
      </c>
    </row>
    <row r="368" spans="1:8" x14ac:dyDescent="0.2">
      <c r="A368" s="1">
        <v>1</v>
      </c>
      <c r="B368">
        <v>2</v>
      </c>
      <c r="C368">
        <v>2</v>
      </c>
      <c r="D368">
        <v>1725000</v>
      </c>
      <c r="E368">
        <v>1922</v>
      </c>
      <c r="F368">
        <v>1415</v>
      </c>
      <c r="G368">
        <v>1219</v>
      </c>
      <c r="H368">
        <v>86</v>
      </c>
    </row>
    <row r="369" spans="1:8" x14ac:dyDescent="0.2">
      <c r="A369" s="1">
        <v>1</v>
      </c>
      <c r="B369">
        <v>3</v>
      </c>
      <c r="C369">
        <v>3</v>
      </c>
      <c r="D369">
        <v>1995000</v>
      </c>
      <c r="E369">
        <v>1922</v>
      </c>
      <c r="F369">
        <v>1915</v>
      </c>
      <c r="G369">
        <v>1042</v>
      </c>
      <c r="H369">
        <v>88</v>
      </c>
    </row>
    <row r="370" spans="1:8" x14ac:dyDescent="0.2">
      <c r="A370" s="1">
        <v>1</v>
      </c>
      <c r="B370">
        <v>0</v>
      </c>
      <c r="C370">
        <v>1</v>
      </c>
      <c r="D370">
        <v>499000</v>
      </c>
      <c r="E370">
        <v>1900</v>
      </c>
      <c r="F370">
        <v>510</v>
      </c>
      <c r="G370">
        <v>978</v>
      </c>
      <c r="H370">
        <v>91</v>
      </c>
    </row>
    <row r="371" spans="1:8" x14ac:dyDescent="0.2">
      <c r="A371" s="1">
        <v>1</v>
      </c>
      <c r="B371">
        <v>0</v>
      </c>
      <c r="C371">
        <v>1</v>
      </c>
      <c r="D371">
        <v>499000</v>
      </c>
      <c r="E371">
        <v>1900</v>
      </c>
      <c r="F371">
        <v>510</v>
      </c>
      <c r="G371">
        <v>978</v>
      </c>
      <c r="H371">
        <v>91</v>
      </c>
    </row>
    <row r="372" spans="1:8" x14ac:dyDescent="0.2">
      <c r="A372" s="1">
        <v>1</v>
      </c>
      <c r="B372">
        <v>1</v>
      </c>
      <c r="C372">
        <v>1</v>
      </c>
      <c r="D372">
        <v>599000</v>
      </c>
      <c r="E372">
        <v>1900</v>
      </c>
      <c r="F372">
        <v>624</v>
      </c>
      <c r="G372">
        <v>960</v>
      </c>
      <c r="H372">
        <v>91</v>
      </c>
    </row>
    <row r="373" spans="1:8" x14ac:dyDescent="0.2">
      <c r="A373" s="1">
        <v>1</v>
      </c>
      <c r="B373">
        <v>1</v>
      </c>
      <c r="C373">
        <v>1</v>
      </c>
      <c r="D373">
        <v>599000</v>
      </c>
      <c r="E373">
        <v>1900</v>
      </c>
      <c r="F373">
        <v>624</v>
      </c>
      <c r="G373">
        <v>960</v>
      </c>
      <c r="H373">
        <v>91</v>
      </c>
    </row>
    <row r="374" spans="1:8" x14ac:dyDescent="0.2">
      <c r="A374" s="1">
        <v>1</v>
      </c>
      <c r="B374">
        <v>3</v>
      </c>
      <c r="C374">
        <v>2</v>
      </c>
      <c r="D374">
        <v>1200000</v>
      </c>
      <c r="E374">
        <v>1929</v>
      </c>
      <c r="F374">
        <v>1284</v>
      </c>
      <c r="G374">
        <v>935</v>
      </c>
      <c r="H374">
        <v>121</v>
      </c>
    </row>
    <row r="375" spans="1:8" x14ac:dyDescent="0.2">
      <c r="A375" s="1">
        <v>1</v>
      </c>
      <c r="B375">
        <v>3</v>
      </c>
      <c r="C375">
        <v>2</v>
      </c>
      <c r="D375">
        <v>1395000</v>
      </c>
      <c r="E375">
        <v>1909</v>
      </c>
      <c r="F375">
        <v>1877</v>
      </c>
      <c r="G375">
        <v>743</v>
      </c>
      <c r="H375">
        <v>57</v>
      </c>
    </row>
    <row r="376" spans="1:8" x14ac:dyDescent="0.2">
      <c r="A376" s="1">
        <v>1</v>
      </c>
      <c r="B376">
        <v>3</v>
      </c>
      <c r="C376">
        <v>3</v>
      </c>
      <c r="D376">
        <v>1785000</v>
      </c>
      <c r="E376">
        <v>1925</v>
      </c>
      <c r="F376">
        <v>1970</v>
      </c>
      <c r="G376">
        <v>906</v>
      </c>
      <c r="H376">
        <v>58</v>
      </c>
    </row>
    <row r="377" spans="1:8" x14ac:dyDescent="0.2">
      <c r="A377" s="1">
        <v>1</v>
      </c>
      <c r="B377">
        <v>3</v>
      </c>
      <c r="C377">
        <v>2</v>
      </c>
      <c r="D377">
        <v>1099000</v>
      </c>
      <c r="E377">
        <v>1905</v>
      </c>
      <c r="F377">
        <v>1457</v>
      </c>
      <c r="G377">
        <v>754</v>
      </c>
      <c r="H377">
        <v>67</v>
      </c>
    </row>
    <row r="378" spans="1:8" x14ac:dyDescent="0.2">
      <c r="A378" s="1">
        <v>1</v>
      </c>
      <c r="B378">
        <v>5</v>
      </c>
      <c r="C378">
        <v>5.5</v>
      </c>
      <c r="D378">
        <v>3495000</v>
      </c>
      <c r="E378">
        <v>1921</v>
      </c>
      <c r="F378">
        <v>4310</v>
      </c>
      <c r="G378">
        <v>811</v>
      </c>
      <c r="H378">
        <v>73</v>
      </c>
    </row>
    <row r="379" spans="1:8" x14ac:dyDescent="0.2">
      <c r="A379" s="1">
        <v>1</v>
      </c>
      <c r="B379">
        <v>3</v>
      </c>
      <c r="C379">
        <v>2</v>
      </c>
      <c r="D379">
        <v>2395000</v>
      </c>
      <c r="E379">
        <v>1929</v>
      </c>
      <c r="F379">
        <v>2323</v>
      </c>
      <c r="G379">
        <v>1031</v>
      </c>
      <c r="H379">
        <v>73</v>
      </c>
    </row>
    <row r="380" spans="1:8" x14ac:dyDescent="0.2">
      <c r="A380" s="1">
        <v>1</v>
      </c>
      <c r="B380">
        <v>4</v>
      </c>
      <c r="C380">
        <v>2.5</v>
      </c>
      <c r="D380">
        <v>2549000</v>
      </c>
      <c r="E380">
        <v>1907</v>
      </c>
      <c r="F380">
        <v>2746</v>
      </c>
      <c r="G380">
        <v>928</v>
      </c>
      <c r="H380">
        <v>75</v>
      </c>
    </row>
    <row r="381" spans="1:8" x14ac:dyDescent="0.2">
      <c r="A381" s="1">
        <v>1</v>
      </c>
      <c r="B381">
        <v>3</v>
      </c>
      <c r="C381">
        <v>2</v>
      </c>
      <c r="D381">
        <v>995000</v>
      </c>
      <c r="E381">
        <v>2000</v>
      </c>
      <c r="F381">
        <v>1393</v>
      </c>
      <c r="G381">
        <v>714</v>
      </c>
      <c r="H381">
        <v>75</v>
      </c>
    </row>
    <row r="382" spans="1:8" x14ac:dyDescent="0.2">
      <c r="A382" s="1">
        <v>1</v>
      </c>
      <c r="B382">
        <v>5</v>
      </c>
      <c r="C382">
        <v>3.5</v>
      </c>
      <c r="D382">
        <v>6495000</v>
      </c>
      <c r="E382">
        <v>1906</v>
      </c>
      <c r="F382">
        <v>4609</v>
      </c>
      <c r="G382">
        <v>1409</v>
      </c>
      <c r="H382">
        <v>89</v>
      </c>
    </row>
    <row r="383" spans="1:8" x14ac:dyDescent="0.2">
      <c r="A383" s="1">
        <v>1</v>
      </c>
      <c r="B383">
        <v>4</v>
      </c>
      <c r="C383">
        <v>3</v>
      </c>
      <c r="D383">
        <v>1698000</v>
      </c>
      <c r="E383">
        <v>1890</v>
      </c>
      <c r="F383">
        <v>1789</v>
      </c>
      <c r="G383">
        <v>949</v>
      </c>
      <c r="H383">
        <v>102</v>
      </c>
    </row>
    <row r="384" spans="1:8" x14ac:dyDescent="0.2">
      <c r="A384" s="1">
        <v>1</v>
      </c>
      <c r="B384">
        <v>5</v>
      </c>
      <c r="C384">
        <v>2</v>
      </c>
      <c r="D384">
        <v>6298000</v>
      </c>
      <c r="E384">
        <v>1914</v>
      </c>
      <c r="F384">
        <v>3585</v>
      </c>
      <c r="G384">
        <v>1757</v>
      </c>
      <c r="H384">
        <v>26</v>
      </c>
    </row>
    <row r="385" spans="1:8" x14ac:dyDescent="0.2">
      <c r="A385" s="1">
        <v>1</v>
      </c>
      <c r="B385">
        <v>3</v>
      </c>
      <c r="C385">
        <v>3</v>
      </c>
      <c r="D385">
        <v>1139000</v>
      </c>
      <c r="E385">
        <v>2008</v>
      </c>
      <c r="F385">
        <v>1532</v>
      </c>
      <c r="G385">
        <v>743</v>
      </c>
      <c r="H385">
        <v>44</v>
      </c>
    </row>
    <row r="386" spans="1:8" x14ac:dyDescent="0.2">
      <c r="A386" s="1">
        <v>1</v>
      </c>
      <c r="B386">
        <v>3</v>
      </c>
      <c r="C386">
        <v>2</v>
      </c>
      <c r="D386">
        <v>1080000</v>
      </c>
      <c r="E386">
        <v>1914</v>
      </c>
      <c r="F386">
        <v>1954</v>
      </c>
      <c r="G386">
        <v>553</v>
      </c>
      <c r="H386">
        <v>49</v>
      </c>
    </row>
    <row r="387" spans="1:8" x14ac:dyDescent="0.2">
      <c r="A387" s="1">
        <v>1</v>
      </c>
      <c r="B387">
        <v>4</v>
      </c>
      <c r="C387">
        <v>1</v>
      </c>
      <c r="D387">
        <v>1050000</v>
      </c>
      <c r="E387">
        <v>1932</v>
      </c>
      <c r="F387">
        <v>1767</v>
      </c>
      <c r="G387">
        <v>594</v>
      </c>
      <c r="H387">
        <v>55</v>
      </c>
    </row>
    <row r="388" spans="1:8" x14ac:dyDescent="0.2">
      <c r="A388" s="1">
        <v>1</v>
      </c>
      <c r="B388">
        <v>1</v>
      </c>
      <c r="C388">
        <v>1</v>
      </c>
      <c r="D388">
        <v>739900</v>
      </c>
      <c r="E388">
        <v>1941</v>
      </c>
      <c r="F388">
        <v>875</v>
      </c>
      <c r="G388">
        <v>846</v>
      </c>
      <c r="H388">
        <v>70</v>
      </c>
    </row>
    <row r="389" spans="1:8" x14ac:dyDescent="0.2">
      <c r="A389" s="1">
        <v>1</v>
      </c>
      <c r="B389">
        <v>4</v>
      </c>
      <c r="C389">
        <v>4</v>
      </c>
      <c r="D389">
        <v>1595000</v>
      </c>
      <c r="E389">
        <v>1925</v>
      </c>
      <c r="F389">
        <v>2750</v>
      </c>
      <c r="G389">
        <v>580</v>
      </c>
      <c r="H389">
        <v>81</v>
      </c>
    </row>
    <row r="390" spans="1:8" x14ac:dyDescent="0.2">
      <c r="A390" s="1">
        <v>1</v>
      </c>
      <c r="B390">
        <v>2</v>
      </c>
      <c r="C390">
        <v>1</v>
      </c>
      <c r="D390">
        <v>699000</v>
      </c>
      <c r="E390">
        <v>1907</v>
      </c>
      <c r="F390">
        <v>1200</v>
      </c>
      <c r="G390">
        <v>583</v>
      </c>
      <c r="H390">
        <v>14</v>
      </c>
    </row>
    <row r="391" spans="1:8" x14ac:dyDescent="0.2">
      <c r="A391" s="1">
        <v>1</v>
      </c>
      <c r="B391">
        <v>2</v>
      </c>
      <c r="C391">
        <v>1</v>
      </c>
      <c r="D391">
        <v>799000</v>
      </c>
      <c r="E391">
        <v>1938</v>
      </c>
      <c r="F391">
        <v>1150</v>
      </c>
      <c r="G391">
        <v>695</v>
      </c>
      <c r="H391">
        <v>36</v>
      </c>
    </row>
    <row r="392" spans="1:8" x14ac:dyDescent="0.2">
      <c r="A392" s="1">
        <v>1</v>
      </c>
      <c r="B392">
        <v>4</v>
      </c>
      <c r="C392">
        <v>2.5</v>
      </c>
      <c r="D392">
        <v>995000</v>
      </c>
      <c r="E392">
        <v>1915</v>
      </c>
      <c r="F392">
        <v>2180</v>
      </c>
      <c r="G392">
        <v>456</v>
      </c>
      <c r="H392">
        <v>62</v>
      </c>
    </row>
    <row r="393" spans="1:8" x14ac:dyDescent="0.2">
      <c r="A393" s="1">
        <v>1</v>
      </c>
      <c r="B393">
        <v>2</v>
      </c>
      <c r="C393">
        <v>1</v>
      </c>
      <c r="D393">
        <v>829000</v>
      </c>
      <c r="E393">
        <v>1925</v>
      </c>
      <c r="F393">
        <v>1145</v>
      </c>
      <c r="G393">
        <v>724</v>
      </c>
      <c r="H393">
        <v>71</v>
      </c>
    </row>
    <row r="394" spans="1:8" x14ac:dyDescent="0.2">
      <c r="A394" s="1">
        <v>1</v>
      </c>
      <c r="B394">
        <v>2</v>
      </c>
      <c r="C394">
        <v>1</v>
      </c>
      <c r="D394">
        <v>875000</v>
      </c>
      <c r="E394">
        <v>1908</v>
      </c>
      <c r="F394">
        <v>1158</v>
      </c>
      <c r="G394">
        <v>756</v>
      </c>
      <c r="H394">
        <v>84</v>
      </c>
    </row>
    <row r="395" spans="1:8" x14ac:dyDescent="0.2">
      <c r="A395" s="1">
        <v>1</v>
      </c>
      <c r="B395">
        <v>5</v>
      </c>
      <c r="C395">
        <v>3</v>
      </c>
      <c r="D395">
        <v>950000</v>
      </c>
      <c r="E395">
        <v>1939</v>
      </c>
      <c r="F395">
        <v>1846</v>
      </c>
      <c r="G395">
        <v>515</v>
      </c>
      <c r="H395">
        <v>97</v>
      </c>
    </row>
    <row r="396" spans="1:8" x14ac:dyDescent="0.2">
      <c r="A396" s="1">
        <v>1</v>
      </c>
      <c r="B396">
        <v>2</v>
      </c>
      <c r="C396">
        <v>1</v>
      </c>
      <c r="D396">
        <v>749000</v>
      </c>
      <c r="E396">
        <v>1936</v>
      </c>
      <c r="F396">
        <v>1450</v>
      </c>
      <c r="G396">
        <v>517</v>
      </c>
      <c r="H396">
        <v>110</v>
      </c>
    </row>
    <row r="397" spans="1:8" x14ac:dyDescent="0.2">
      <c r="A397" s="1">
        <v>1</v>
      </c>
      <c r="B397">
        <v>2</v>
      </c>
      <c r="C397">
        <v>1</v>
      </c>
      <c r="D397">
        <v>749000</v>
      </c>
      <c r="E397">
        <v>1936</v>
      </c>
      <c r="F397">
        <v>1450</v>
      </c>
      <c r="G397">
        <v>517</v>
      </c>
      <c r="H397">
        <v>110</v>
      </c>
    </row>
    <row r="398" spans="1:8" x14ac:dyDescent="0.2">
      <c r="A398" s="1">
        <v>1</v>
      </c>
      <c r="B398">
        <v>6</v>
      </c>
      <c r="C398">
        <v>6.5</v>
      </c>
      <c r="D398">
        <v>9500000</v>
      </c>
      <c r="E398">
        <v>1937</v>
      </c>
      <c r="F398">
        <v>5420</v>
      </c>
      <c r="G398">
        <v>1753</v>
      </c>
      <c r="H398">
        <v>3</v>
      </c>
    </row>
    <row r="399" spans="1:8" x14ac:dyDescent="0.2">
      <c r="A399" s="1">
        <v>1</v>
      </c>
      <c r="B399">
        <v>4</v>
      </c>
      <c r="C399">
        <v>3</v>
      </c>
      <c r="D399">
        <v>3595000</v>
      </c>
      <c r="E399">
        <v>1931</v>
      </c>
      <c r="F399">
        <v>3017</v>
      </c>
      <c r="G399">
        <v>1192</v>
      </c>
      <c r="H399">
        <v>9</v>
      </c>
    </row>
    <row r="400" spans="1:8" x14ac:dyDescent="0.2">
      <c r="A400" s="1">
        <v>1</v>
      </c>
      <c r="B400">
        <v>2</v>
      </c>
      <c r="C400">
        <v>1.5</v>
      </c>
      <c r="D400">
        <v>1425000</v>
      </c>
      <c r="E400">
        <v>1925</v>
      </c>
      <c r="F400">
        <v>1360</v>
      </c>
      <c r="G400">
        <v>1048</v>
      </c>
      <c r="H400">
        <v>14</v>
      </c>
    </row>
    <row r="401" spans="1:8" x14ac:dyDescent="0.2">
      <c r="A401" s="1">
        <v>1</v>
      </c>
      <c r="B401">
        <v>1</v>
      </c>
      <c r="C401">
        <v>1</v>
      </c>
      <c r="D401">
        <v>865000</v>
      </c>
      <c r="E401">
        <v>1993</v>
      </c>
      <c r="F401">
        <v>960</v>
      </c>
      <c r="G401">
        <v>901</v>
      </c>
      <c r="H401">
        <v>17</v>
      </c>
    </row>
    <row r="402" spans="1:8" x14ac:dyDescent="0.2">
      <c r="A402" s="1">
        <v>1</v>
      </c>
      <c r="B402">
        <v>2</v>
      </c>
      <c r="C402">
        <v>2.5</v>
      </c>
      <c r="D402">
        <v>2495000</v>
      </c>
      <c r="E402">
        <v>1940</v>
      </c>
      <c r="F402">
        <v>1809</v>
      </c>
      <c r="G402">
        <v>1379</v>
      </c>
      <c r="H402">
        <v>48</v>
      </c>
    </row>
    <row r="403" spans="1:8" x14ac:dyDescent="0.2">
      <c r="A403" s="1">
        <v>1</v>
      </c>
      <c r="B403">
        <v>2</v>
      </c>
      <c r="C403">
        <v>2</v>
      </c>
      <c r="D403">
        <v>2000000</v>
      </c>
      <c r="E403">
        <v>1925</v>
      </c>
      <c r="F403">
        <v>1518</v>
      </c>
      <c r="G403">
        <v>1318</v>
      </c>
      <c r="H403">
        <v>50</v>
      </c>
    </row>
    <row r="404" spans="1:8" x14ac:dyDescent="0.2">
      <c r="A404" s="1">
        <v>1</v>
      </c>
      <c r="B404">
        <v>4</v>
      </c>
      <c r="C404">
        <v>3.5</v>
      </c>
      <c r="D404">
        <v>9895000</v>
      </c>
      <c r="E404">
        <v>2008</v>
      </c>
      <c r="F404">
        <v>6024</v>
      </c>
      <c r="G404">
        <v>1643</v>
      </c>
      <c r="H404">
        <v>62</v>
      </c>
    </row>
    <row r="405" spans="1:8" x14ac:dyDescent="0.2">
      <c r="A405" s="1">
        <v>1</v>
      </c>
      <c r="B405">
        <v>3</v>
      </c>
      <c r="C405">
        <v>2</v>
      </c>
      <c r="D405">
        <v>358000</v>
      </c>
      <c r="E405">
        <v>1989</v>
      </c>
      <c r="F405">
        <v>1325</v>
      </c>
      <c r="G405">
        <v>270</v>
      </c>
      <c r="H405">
        <v>5</v>
      </c>
    </row>
    <row r="406" spans="1:8" x14ac:dyDescent="0.2">
      <c r="A406" s="1">
        <v>1</v>
      </c>
      <c r="B406">
        <v>3</v>
      </c>
      <c r="C406">
        <v>2.5</v>
      </c>
      <c r="D406">
        <v>899000</v>
      </c>
      <c r="E406">
        <v>2015</v>
      </c>
      <c r="F406">
        <v>1391</v>
      </c>
      <c r="G406">
        <v>646</v>
      </c>
      <c r="H406">
        <v>5</v>
      </c>
    </row>
    <row r="407" spans="1:8" x14ac:dyDescent="0.2">
      <c r="A407" s="1">
        <v>1</v>
      </c>
      <c r="B407">
        <v>3</v>
      </c>
      <c r="C407">
        <v>2.5</v>
      </c>
      <c r="D407">
        <v>929000</v>
      </c>
      <c r="E407">
        <v>2015</v>
      </c>
      <c r="F407">
        <v>1391</v>
      </c>
      <c r="G407">
        <v>668</v>
      </c>
      <c r="H407">
        <v>5</v>
      </c>
    </row>
    <row r="408" spans="1:8" x14ac:dyDescent="0.2">
      <c r="A408" s="1">
        <v>1</v>
      </c>
      <c r="B408">
        <v>4</v>
      </c>
      <c r="C408">
        <v>4</v>
      </c>
      <c r="D408">
        <v>850000</v>
      </c>
      <c r="E408">
        <v>1928</v>
      </c>
      <c r="F408">
        <v>2470</v>
      </c>
      <c r="G408">
        <v>344</v>
      </c>
      <c r="H408">
        <v>8</v>
      </c>
    </row>
    <row r="409" spans="1:8" x14ac:dyDescent="0.2">
      <c r="A409" s="1">
        <v>1</v>
      </c>
      <c r="B409">
        <v>2</v>
      </c>
      <c r="C409">
        <v>1</v>
      </c>
      <c r="D409">
        <v>648000</v>
      </c>
      <c r="E409">
        <v>1921</v>
      </c>
      <c r="F409">
        <v>1125</v>
      </c>
      <c r="G409">
        <v>576</v>
      </c>
      <c r="H409">
        <v>11</v>
      </c>
    </row>
    <row r="410" spans="1:8" x14ac:dyDescent="0.2">
      <c r="A410" s="1">
        <v>1</v>
      </c>
      <c r="B410">
        <v>2</v>
      </c>
      <c r="C410">
        <v>1</v>
      </c>
      <c r="D410">
        <v>480000</v>
      </c>
      <c r="E410">
        <v>1915</v>
      </c>
      <c r="F410">
        <v>680</v>
      </c>
      <c r="G410">
        <v>706</v>
      </c>
      <c r="H410">
        <v>13</v>
      </c>
    </row>
    <row r="411" spans="1:8" x14ac:dyDescent="0.2">
      <c r="A411" s="1">
        <v>1</v>
      </c>
      <c r="B411">
        <v>1</v>
      </c>
      <c r="C411">
        <v>1</v>
      </c>
      <c r="D411">
        <v>499000</v>
      </c>
      <c r="E411">
        <v>1900</v>
      </c>
      <c r="F411">
        <v>1076</v>
      </c>
      <c r="G411">
        <v>464</v>
      </c>
      <c r="H411">
        <v>19</v>
      </c>
    </row>
    <row r="412" spans="1:8" x14ac:dyDescent="0.2">
      <c r="A412" s="1">
        <v>1</v>
      </c>
      <c r="B412">
        <v>4</v>
      </c>
      <c r="C412">
        <v>2</v>
      </c>
      <c r="D412">
        <v>689000</v>
      </c>
      <c r="E412">
        <v>1951</v>
      </c>
      <c r="F412">
        <v>1473</v>
      </c>
      <c r="G412">
        <v>468</v>
      </c>
      <c r="H412">
        <v>21</v>
      </c>
    </row>
    <row r="413" spans="1:8" x14ac:dyDescent="0.2">
      <c r="A413" s="1">
        <v>1</v>
      </c>
      <c r="B413">
        <v>2</v>
      </c>
      <c r="C413">
        <v>2</v>
      </c>
      <c r="D413">
        <v>669000</v>
      </c>
      <c r="E413">
        <v>1986</v>
      </c>
      <c r="F413">
        <v>1317</v>
      </c>
      <c r="G413">
        <v>508</v>
      </c>
      <c r="H413">
        <v>23</v>
      </c>
    </row>
    <row r="414" spans="1:8" x14ac:dyDescent="0.2">
      <c r="A414" s="1">
        <v>1</v>
      </c>
      <c r="B414">
        <v>2</v>
      </c>
      <c r="C414">
        <v>1.5</v>
      </c>
      <c r="D414">
        <v>729000</v>
      </c>
      <c r="E414">
        <v>1942</v>
      </c>
      <c r="F414">
        <v>1012</v>
      </c>
      <c r="G414">
        <v>720</v>
      </c>
      <c r="H414">
        <v>27</v>
      </c>
    </row>
    <row r="415" spans="1:8" x14ac:dyDescent="0.2">
      <c r="A415" s="1">
        <v>1</v>
      </c>
      <c r="B415">
        <v>2</v>
      </c>
      <c r="C415">
        <v>2</v>
      </c>
      <c r="D415">
        <v>767000</v>
      </c>
      <c r="E415">
        <v>1916</v>
      </c>
      <c r="F415">
        <v>1380</v>
      </c>
      <c r="G415">
        <v>556</v>
      </c>
      <c r="H415">
        <v>31</v>
      </c>
    </row>
    <row r="416" spans="1:8" x14ac:dyDescent="0.2">
      <c r="A416" s="1">
        <v>1</v>
      </c>
      <c r="B416">
        <v>3</v>
      </c>
      <c r="C416">
        <v>1</v>
      </c>
      <c r="D416">
        <v>660000</v>
      </c>
      <c r="E416">
        <v>1900</v>
      </c>
      <c r="F416">
        <v>1520</v>
      </c>
      <c r="G416">
        <v>434</v>
      </c>
      <c r="H416">
        <v>35</v>
      </c>
    </row>
    <row r="417" spans="1:8" x14ac:dyDescent="0.2">
      <c r="A417" s="1">
        <v>1</v>
      </c>
      <c r="B417">
        <v>2</v>
      </c>
      <c r="C417">
        <v>1</v>
      </c>
      <c r="D417">
        <v>995000</v>
      </c>
      <c r="E417">
        <v>1908</v>
      </c>
      <c r="F417">
        <v>600</v>
      </c>
      <c r="G417">
        <v>1658</v>
      </c>
      <c r="H417">
        <v>36</v>
      </c>
    </row>
    <row r="418" spans="1:8" x14ac:dyDescent="0.2">
      <c r="A418" s="1">
        <v>1</v>
      </c>
      <c r="B418">
        <v>2</v>
      </c>
      <c r="C418">
        <v>1</v>
      </c>
      <c r="D418">
        <v>759900</v>
      </c>
      <c r="E418">
        <v>1941</v>
      </c>
      <c r="F418">
        <v>1175</v>
      </c>
      <c r="G418">
        <v>647</v>
      </c>
      <c r="H418">
        <v>43</v>
      </c>
    </row>
    <row r="419" spans="1:8" x14ac:dyDescent="0.2">
      <c r="A419" s="1">
        <v>1</v>
      </c>
      <c r="B419">
        <v>6</v>
      </c>
      <c r="C419">
        <v>3.5</v>
      </c>
      <c r="D419">
        <v>995000</v>
      </c>
      <c r="E419">
        <v>2001</v>
      </c>
      <c r="F419">
        <v>3080</v>
      </c>
      <c r="G419">
        <v>323</v>
      </c>
      <c r="H419">
        <v>55</v>
      </c>
    </row>
    <row r="420" spans="1:8" x14ac:dyDescent="0.2">
      <c r="A420" s="1">
        <v>1</v>
      </c>
      <c r="B420">
        <v>2</v>
      </c>
      <c r="C420">
        <v>1</v>
      </c>
      <c r="D420">
        <v>725000</v>
      </c>
      <c r="E420">
        <v>1945</v>
      </c>
      <c r="F420">
        <v>1040</v>
      </c>
      <c r="G420">
        <v>697</v>
      </c>
      <c r="H420">
        <v>60</v>
      </c>
    </row>
    <row r="421" spans="1:8" x14ac:dyDescent="0.2">
      <c r="A421" s="1">
        <v>1</v>
      </c>
      <c r="B421">
        <v>4</v>
      </c>
      <c r="C421">
        <v>3</v>
      </c>
      <c r="D421">
        <v>3420000</v>
      </c>
      <c r="E421">
        <v>1926</v>
      </c>
      <c r="F421">
        <v>5113</v>
      </c>
      <c r="G421">
        <v>669</v>
      </c>
      <c r="H421">
        <v>98</v>
      </c>
    </row>
    <row r="422" spans="1:8" x14ac:dyDescent="0.2">
      <c r="A422" s="1">
        <v>1</v>
      </c>
      <c r="B422">
        <v>3</v>
      </c>
      <c r="C422">
        <v>2</v>
      </c>
      <c r="D422">
        <v>1650000</v>
      </c>
      <c r="E422">
        <v>1922</v>
      </c>
      <c r="F422">
        <v>2025</v>
      </c>
      <c r="G422">
        <v>815</v>
      </c>
      <c r="H422">
        <v>106</v>
      </c>
    </row>
    <row r="423" spans="1:8" x14ac:dyDescent="0.2">
      <c r="A423" s="1">
        <v>1</v>
      </c>
      <c r="B423">
        <v>3</v>
      </c>
      <c r="C423">
        <v>3.5</v>
      </c>
      <c r="D423">
        <v>2250000</v>
      </c>
      <c r="E423">
        <v>1928</v>
      </c>
      <c r="F423">
        <v>3258</v>
      </c>
      <c r="G423">
        <v>691</v>
      </c>
      <c r="H423">
        <v>127</v>
      </c>
    </row>
    <row r="424" spans="1:8" x14ac:dyDescent="0.2">
      <c r="A424" s="1">
        <v>1</v>
      </c>
      <c r="B424">
        <v>3</v>
      </c>
      <c r="C424">
        <v>1</v>
      </c>
      <c r="D424">
        <v>1319000</v>
      </c>
      <c r="E424">
        <v>1925</v>
      </c>
      <c r="F424">
        <v>1752</v>
      </c>
      <c r="G424">
        <v>753</v>
      </c>
      <c r="H424">
        <v>141</v>
      </c>
    </row>
    <row r="425" spans="1:8" x14ac:dyDescent="0.2">
      <c r="A425" s="1">
        <v>1</v>
      </c>
      <c r="B425">
        <v>5</v>
      </c>
      <c r="C425">
        <v>3.5</v>
      </c>
      <c r="D425">
        <v>1698000</v>
      </c>
      <c r="E425">
        <v>1966</v>
      </c>
      <c r="F425">
        <v>2769</v>
      </c>
      <c r="G425">
        <v>613</v>
      </c>
      <c r="H425">
        <v>176</v>
      </c>
    </row>
    <row r="426" spans="1:8" x14ac:dyDescent="0.2">
      <c r="A426" s="1">
        <v>1</v>
      </c>
      <c r="B426">
        <v>3</v>
      </c>
      <c r="C426">
        <v>2</v>
      </c>
      <c r="D426">
        <v>1049000</v>
      </c>
      <c r="E426">
        <v>1947</v>
      </c>
      <c r="F426">
        <v>1626</v>
      </c>
      <c r="G426">
        <v>645</v>
      </c>
      <c r="H426">
        <v>179</v>
      </c>
    </row>
    <row r="427" spans="1:8" x14ac:dyDescent="0.2">
      <c r="A427" s="1">
        <v>1</v>
      </c>
      <c r="B427">
        <v>2</v>
      </c>
      <c r="C427">
        <v>2</v>
      </c>
      <c r="D427">
        <v>599000</v>
      </c>
      <c r="E427">
        <v>1990</v>
      </c>
      <c r="F427">
        <v>862</v>
      </c>
      <c r="G427">
        <v>695</v>
      </c>
      <c r="H427">
        <v>181</v>
      </c>
    </row>
    <row r="428" spans="1:8" x14ac:dyDescent="0.2">
      <c r="A428" s="1">
        <v>1</v>
      </c>
      <c r="B428">
        <v>5</v>
      </c>
      <c r="C428">
        <v>3.5</v>
      </c>
      <c r="D428">
        <v>2995000</v>
      </c>
      <c r="E428">
        <v>1947</v>
      </c>
      <c r="F428">
        <v>3890</v>
      </c>
      <c r="G428">
        <v>770</v>
      </c>
      <c r="H428">
        <v>181</v>
      </c>
    </row>
    <row r="429" spans="1:8" x14ac:dyDescent="0.2">
      <c r="A429" s="1">
        <v>1</v>
      </c>
      <c r="B429">
        <v>3</v>
      </c>
      <c r="C429">
        <v>2</v>
      </c>
      <c r="D429">
        <v>995000</v>
      </c>
      <c r="E429">
        <v>1956</v>
      </c>
      <c r="F429">
        <v>1305</v>
      </c>
      <c r="G429">
        <v>762</v>
      </c>
      <c r="H429">
        <v>216</v>
      </c>
    </row>
    <row r="430" spans="1:8" x14ac:dyDescent="0.2">
      <c r="A430" s="1">
        <v>1</v>
      </c>
      <c r="B430">
        <v>1</v>
      </c>
      <c r="C430">
        <v>1</v>
      </c>
      <c r="D430">
        <v>350000</v>
      </c>
      <c r="E430">
        <v>1908</v>
      </c>
      <c r="F430">
        <v>600</v>
      </c>
      <c r="G430">
        <v>583</v>
      </c>
      <c r="H430">
        <v>43</v>
      </c>
    </row>
    <row r="431" spans="1:8" x14ac:dyDescent="0.2">
      <c r="A431" s="1">
        <v>1</v>
      </c>
      <c r="B431">
        <v>2</v>
      </c>
      <c r="C431">
        <v>1</v>
      </c>
      <c r="D431">
        <v>550000</v>
      </c>
      <c r="E431">
        <v>1908</v>
      </c>
      <c r="F431">
        <v>800</v>
      </c>
      <c r="G431">
        <v>688</v>
      </c>
      <c r="H431">
        <v>43</v>
      </c>
    </row>
    <row r="432" spans="1:8" x14ac:dyDescent="0.2">
      <c r="A432" s="1">
        <v>1</v>
      </c>
      <c r="B432">
        <v>4</v>
      </c>
      <c r="C432">
        <v>4</v>
      </c>
      <c r="D432">
        <v>3760000</v>
      </c>
      <c r="E432">
        <v>1900</v>
      </c>
      <c r="F432">
        <v>3085</v>
      </c>
      <c r="G432">
        <v>1219</v>
      </c>
      <c r="H432">
        <v>49</v>
      </c>
    </row>
    <row r="433" spans="1:8" x14ac:dyDescent="0.2">
      <c r="A433" s="1">
        <v>1</v>
      </c>
      <c r="B433">
        <v>3</v>
      </c>
      <c r="C433">
        <v>2</v>
      </c>
      <c r="D433">
        <v>1050000</v>
      </c>
      <c r="E433">
        <v>1922</v>
      </c>
      <c r="F433">
        <v>1266</v>
      </c>
      <c r="G433">
        <v>829</v>
      </c>
      <c r="H433">
        <v>52</v>
      </c>
    </row>
    <row r="434" spans="1:8" x14ac:dyDescent="0.2">
      <c r="A434" s="1">
        <v>1</v>
      </c>
      <c r="B434">
        <v>2</v>
      </c>
      <c r="C434">
        <v>2</v>
      </c>
      <c r="D434">
        <v>1895000</v>
      </c>
      <c r="E434">
        <v>1907</v>
      </c>
      <c r="F434">
        <v>1756</v>
      </c>
      <c r="G434">
        <v>1079</v>
      </c>
      <c r="H434">
        <v>54</v>
      </c>
    </row>
    <row r="435" spans="1:8" x14ac:dyDescent="0.2">
      <c r="A435" s="1">
        <v>1</v>
      </c>
      <c r="B435">
        <v>1</v>
      </c>
      <c r="C435">
        <v>1</v>
      </c>
      <c r="D435">
        <v>599000</v>
      </c>
      <c r="E435">
        <v>1961</v>
      </c>
      <c r="F435">
        <v>680</v>
      </c>
      <c r="G435">
        <v>881</v>
      </c>
      <c r="H435">
        <v>56</v>
      </c>
    </row>
    <row r="436" spans="1:8" x14ac:dyDescent="0.2">
      <c r="A436" s="1">
        <v>1</v>
      </c>
      <c r="B436">
        <v>4</v>
      </c>
      <c r="C436">
        <v>3</v>
      </c>
      <c r="D436">
        <v>1895000</v>
      </c>
      <c r="E436">
        <v>2001</v>
      </c>
      <c r="F436">
        <v>2041</v>
      </c>
      <c r="G436">
        <v>928</v>
      </c>
      <c r="H436">
        <v>61</v>
      </c>
    </row>
    <row r="437" spans="1:8" x14ac:dyDescent="0.2">
      <c r="A437" s="1">
        <v>1</v>
      </c>
      <c r="B437">
        <v>3</v>
      </c>
      <c r="C437">
        <v>2</v>
      </c>
      <c r="D437">
        <v>1799000</v>
      </c>
      <c r="E437">
        <v>1926</v>
      </c>
      <c r="F437">
        <v>1800</v>
      </c>
      <c r="G437">
        <v>999</v>
      </c>
      <c r="H437">
        <v>66</v>
      </c>
    </row>
    <row r="438" spans="1:8" x14ac:dyDescent="0.2">
      <c r="A438" s="1">
        <v>1</v>
      </c>
      <c r="B438">
        <v>2</v>
      </c>
      <c r="C438">
        <v>1</v>
      </c>
      <c r="D438">
        <v>600000</v>
      </c>
      <c r="E438">
        <v>1908</v>
      </c>
      <c r="F438">
        <v>1350</v>
      </c>
      <c r="G438">
        <v>444</v>
      </c>
      <c r="H438">
        <v>92</v>
      </c>
    </row>
    <row r="439" spans="1:8" x14ac:dyDescent="0.2">
      <c r="A439" s="1">
        <v>1</v>
      </c>
      <c r="B439">
        <v>2</v>
      </c>
      <c r="C439">
        <v>1</v>
      </c>
      <c r="D439">
        <v>1495000</v>
      </c>
      <c r="E439">
        <v>1908</v>
      </c>
      <c r="F439">
        <v>1700</v>
      </c>
      <c r="G439">
        <v>879</v>
      </c>
      <c r="H439">
        <v>98</v>
      </c>
    </row>
    <row r="440" spans="1:8" x14ac:dyDescent="0.2">
      <c r="A440" s="1">
        <v>1</v>
      </c>
      <c r="B440">
        <v>3</v>
      </c>
      <c r="C440">
        <v>2</v>
      </c>
      <c r="D440">
        <v>1595000</v>
      </c>
      <c r="E440">
        <v>1961</v>
      </c>
      <c r="F440">
        <v>1515</v>
      </c>
      <c r="G440">
        <v>1053</v>
      </c>
      <c r="H440">
        <v>103</v>
      </c>
    </row>
    <row r="441" spans="1:8" x14ac:dyDescent="0.2">
      <c r="A441" s="1">
        <v>1</v>
      </c>
      <c r="B441">
        <v>3</v>
      </c>
      <c r="C441">
        <v>2</v>
      </c>
      <c r="D441">
        <v>849000</v>
      </c>
      <c r="E441">
        <v>1947</v>
      </c>
      <c r="F441">
        <v>1622</v>
      </c>
      <c r="G441">
        <v>523</v>
      </c>
      <c r="H441">
        <v>106</v>
      </c>
    </row>
    <row r="442" spans="1:8" x14ac:dyDescent="0.2">
      <c r="A442" s="1">
        <v>1</v>
      </c>
      <c r="B442">
        <v>4</v>
      </c>
      <c r="C442">
        <v>3.5</v>
      </c>
      <c r="D442">
        <v>1995000</v>
      </c>
      <c r="E442">
        <v>1992</v>
      </c>
      <c r="F442">
        <v>3312</v>
      </c>
      <c r="G442">
        <v>602</v>
      </c>
      <c r="H442">
        <v>108</v>
      </c>
    </row>
    <row r="443" spans="1:8" x14ac:dyDescent="0.2">
      <c r="A443" s="1">
        <v>1</v>
      </c>
      <c r="B443">
        <v>3</v>
      </c>
      <c r="C443">
        <v>2</v>
      </c>
      <c r="D443">
        <v>1495000</v>
      </c>
      <c r="E443">
        <v>1937</v>
      </c>
      <c r="F443">
        <v>1635</v>
      </c>
      <c r="G443">
        <v>914</v>
      </c>
      <c r="H443">
        <v>112</v>
      </c>
    </row>
    <row r="444" spans="1:8" x14ac:dyDescent="0.2">
      <c r="A444" s="1">
        <v>1</v>
      </c>
      <c r="B444">
        <v>3</v>
      </c>
      <c r="C444">
        <v>3.5</v>
      </c>
      <c r="D444">
        <v>2195000</v>
      </c>
      <c r="E444">
        <v>1922</v>
      </c>
      <c r="F444">
        <v>2168</v>
      </c>
      <c r="G444">
        <v>1012</v>
      </c>
      <c r="H444">
        <v>125</v>
      </c>
    </row>
    <row r="445" spans="1:8" x14ac:dyDescent="0.2">
      <c r="A445" s="1">
        <v>1</v>
      </c>
      <c r="B445">
        <v>4</v>
      </c>
      <c r="C445">
        <v>2</v>
      </c>
      <c r="D445">
        <v>1798000</v>
      </c>
      <c r="E445">
        <v>1951</v>
      </c>
      <c r="F445">
        <v>2050</v>
      </c>
      <c r="G445">
        <v>877</v>
      </c>
      <c r="H445">
        <v>131</v>
      </c>
    </row>
    <row r="446" spans="1:8" x14ac:dyDescent="0.2">
      <c r="A446" s="1">
        <v>1</v>
      </c>
      <c r="B446">
        <v>2</v>
      </c>
      <c r="C446">
        <v>2</v>
      </c>
      <c r="D446">
        <v>849000</v>
      </c>
      <c r="E446">
        <v>1978</v>
      </c>
      <c r="F446">
        <v>1555</v>
      </c>
      <c r="G446">
        <v>546</v>
      </c>
      <c r="H446">
        <v>139</v>
      </c>
    </row>
    <row r="447" spans="1:8" x14ac:dyDescent="0.2">
      <c r="A447" s="1">
        <v>1</v>
      </c>
      <c r="B447">
        <v>3</v>
      </c>
      <c r="C447">
        <v>2</v>
      </c>
      <c r="D447">
        <v>1159000</v>
      </c>
      <c r="E447">
        <v>1977</v>
      </c>
      <c r="F447">
        <v>1731</v>
      </c>
      <c r="G447">
        <v>670</v>
      </c>
      <c r="H447">
        <v>143</v>
      </c>
    </row>
    <row r="448" spans="1:8" x14ac:dyDescent="0.2">
      <c r="A448" s="1">
        <v>1</v>
      </c>
      <c r="B448">
        <v>3</v>
      </c>
      <c r="C448">
        <v>2.5</v>
      </c>
      <c r="D448">
        <v>995000</v>
      </c>
      <c r="E448">
        <v>1976</v>
      </c>
      <c r="F448">
        <v>1959</v>
      </c>
      <c r="G448">
        <v>508</v>
      </c>
      <c r="H448">
        <v>163</v>
      </c>
    </row>
    <row r="449" spans="1:8" x14ac:dyDescent="0.2">
      <c r="A449" s="1">
        <v>1</v>
      </c>
      <c r="B449">
        <v>4</v>
      </c>
      <c r="C449">
        <v>3</v>
      </c>
      <c r="D449">
        <v>1388000</v>
      </c>
      <c r="E449">
        <v>1968</v>
      </c>
      <c r="F449">
        <v>2275</v>
      </c>
      <c r="G449">
        <v>610</v>
      </c>
      <c r="H449">
        <v>163</v>
      </c>
    </row>
    <row r="450" spans="1:8" x14ac:dyDescent="0.2">
      <c r="A450" s="1">
        <v>1</v>
      </c>
      <c r="B450">
        <v>5</v>
      </c>
      <c r="C450">
        <v>3.5</v>
      </c>
      <c r="D450">
        <v>2250000</v>
      </c>
      <c r="E450">
        <v>1962</v>
      </c>
      <c r="F450">
        <v>3729</v>
      </c>
      <c r="G450">
        <v>603</v>
      </c>
      <c r="H450">
        <v>174</v>
      </c>
    </row>
    <row r="451" spans="1:8" x14ac:dyDescent="0.2">
      <c r="A451" s="1">
        <v>1</v>
      </c>
      <c r="B451">
        <v>3</v>
      </c>
      <c r="C451">
        <v>2</v>
      </c>
      <c r="D451">
        <v>1080000</v>
      </c>
      <c r="E451">
        <v>1989</v>
      </c>
      <c r="F451">
        <v>1524</v>
      </c>
      <c r="G451">
        <v>709</v>
      </c>
      <c r="H451">
        <v>185</v>
      </c>
    </row>
    <row r="452" spans="1:8" x14ac:dyDescent="0.2">
      <c r="A452" s="1">
        <v>1</v>
      </c>
      <c r="B452">
        <v>3</v>
      </c>
      <c r="C452">
        <v>2.5</v>
      </c>
      <c r="D452">
        <v>1095000</v>
      </c>
      <c r="E452">
        <v>1968</v>
      </c>
      <c r="F452">
        <v>1868</v>
      </c>
      <c r="G452">
        <v>586</v>
      </c>
      <c r="H452">
        <v>187</v>
      </c>
    </row>
    <row r="453" spans="1:8" x14ac:dyDescent="0.2">
      <c r="A453" s="1">
        <v>1</v>
      </c>
      <c r="B453">
        <v>2</v>
      </c>
      <c r="C453">
        <v>1</v>
      </c>
      <c r="D453">
        <v>599000</v>
      </c>
      <c r="E453">
        <v>1972</v>
      </c>
      <c r="F453">
        <v>990</v>
      </c>
      <c r="G453">
        <v>605</v>
      </c>
      <c r="H453">
        <v>189</v>
      </c>
    </row>
    <row r="454" spans="1:8" x14ac:dyDescent="0.2">
      <c r="A454" s="1">
        <v>1</v>
      </c>
      <c r="B454">
        <v>2</v>
      </c>
      <c r="C454">
        <v>1</v>
      </c>
      <c r="D454">
        <v>915000</v>
      </c>
      <c r="E454">
        <v>1954</v>
      </c>
      <c r="F454">
        <v>1251</v>
      </c>
      <c r="G454">
        <v>731</v>
      </c>
      <c r="H454">
        <v>24</v>
      </c>
    </row>
    <row r="455" spans="1:8" x14ac:dyDescent="0.2">
      <c r="A455" s="1">
        <v>1</v>
      </c>
      <c r="B455">
        <v>2</v>
      </c>
      <c r="C455">
        <v>1</v>
      </c>
      <c r="D455">
        <v>915000</v>
      </c>
      <c r="E455">
        <v>1954</v>
      </c>
      <c r="F455">
        <v>1251</v>
      </c>
      <c r="G455">
        <v>731</v>
      </c>
      <c r="H455">
        <v>24</v>
      </c>
    </row>
    <row r="456" spans="1:8" x14ac:dyDescent="0.2">
      <c r="A456" s="1">
        <v>1</v>
      </c>
      <c r="B456">
        <v>3</v>
      </c>
      <c r="C456">
        <v>2</v>
      </c>
      <c r="D456">
        <v>725000</v>
      </c>
      <c r="E456">
        <v>1975</v>
      </c>
      <c r="F456">
        <v>1474</v>
      </c>
      <c r="G456">
        <v>492</v>
      </c>
      <c r="H456">
        <v>34</v>
      </c>
    </row>
    <row r="457" spans="1:8" x14ac:dyDescent="0.2">
      <c r="A457" s="1">
        <v>1</v>
      </c>
      <c r="B457">
        <v>3</v>
      </c>
      <c r="C457">
        <v>2.5</v>
      </c>
      <c r="D457">
        <v>1588000</v>
      </c>
      <c r="E457">
        <v>2015</v>
      </c>
      <c r="F457">
        <v>2001</v>
      </c>
      <c r="G457">
        <v>794</v>
      </c>
      <c r="H457">
        <v>43</v>
      </c>
    </row>
    <row r="458" spans="1:8" x14ac:dyDescent="0.2">
      <c r="A458" s="1">
        <v>1</v>
      </c>
      <c r="B458">
        <v>2</v>
      </c>
      <c r="C458">
        <v>1</v>
      </c>
      <c r="D458">
        <v>795000</v>
      </c>
      <c r="E458">
        <v>1941</v>
      </c>
      <c r="F458">
        <v>1256</v>
      </c>
      <c r="G458">
        <v>633</v>
      </c>
      <c r="H458">
        <v>63</v>
      </c>
    </row>
    <row r="459" spans="1:8" x14ac:dyDescent="0.2">
      <c r="A459" s="1">
        <v>1</v>
      </c>
      <c r="B459">
        <v>2</v>
      </c>
      <c r="C459">
        <v>1</v>
      </c>
      <c r="D459">
        <v>795000</v>
      </c>
      <c r="E459">
        <v>1941</v>
      </c>
      <c r="F459">
        <v>1256</v>
      </c>
      <c r="G459">
        <v>633</v>
      </c>
      <c r="H459">
        <v>63</v>
      </c>
    </row>
    <row r="460" spans="1:8" x14ac:dyDescent="0.2">
      <c r="A460" s="1">
        <v>1</v>
      </c>
      <c r="B460">
        <v>4</v>
      </c>
      <c r="C460">
        <v>2</v>
      </c>
      <c r="D460">
        <v>848000</v>
      </c>
      <c r="E460">
        <v>1949</v>
      </c>
      <c r="F460">
        <v>1646</v>
      </c>
      <c r="G460">
        <v>515</v>
      </c>
      <c r="H460">
        <v>69</v>
      </c>
    </row>
    <row r="461" spans="1:8" x14ac:dyDescent="0.2">
      <c r="A461" s="1">
        <v>1</v>
      </c>
      <c r="B461">
        <v>1</v>
      </c>
      <c r="C461">
        <v>1</v>
      </c>
      <c r="D461">
        <v>439000</v>
      </c>
      <c r="E461">
        <v>2002</v>
      </c>
      <c r="F461">
        <v>667</v>
      </c>
      <c r="G461">
        <v>658</v>
      </c>
      <c r="H461">
        <v>80</v>
      </c>
    </row>
    <row r="462" spans="1:8" x14ac:dyDescent="0.2">
      <c r="A462" s="1">
        <v>1</v>
      </c>
      <c r="B462">
        <v>3</v>
      </c>
      <c r="C462">
        <v>2</v>
      </c>
      <c r="D462">
        <v>849900</v>
      </c>
      <c r="E462">
        <v>1958</v>
      </c>
      <c r="F462">
        <v>1310</v>
      </c>
      <c r="G462">
        <v>649</v>
      </c>
      <c r="H462">
        <v>118</v>
      </c>
    </row>
    <row r="463" spans="1:8" x14ac:dyDescent="0.2">
      <c r="A463" s="1">
        <v>1</v>
      </c>
      <c r="B463">
        <v>2</v>
      </c>
      <c r="C463">
        <v>1</v>
      </c>
      <c r="D463">
        <v>599000</v>
      </c>
      <c r="E463">
        <v>1941</v>
      </c>
      <c r="F463">
        <v>1254</v>
      </c>
      <c r="G463">
        <v>478</v>
      </c>
      <c r="H463">
        <v>123</v>
      </c>
    </row>
    <row r="464" spans="1:8" x14ac:dyDescent="0.2">
      <c r="A464" s="1">
        <v>1</v>
      </c>
      <c r="B464">
        <v>3</v>
      </c>
      <c r="C464">
        <v>2.5</v>
      </c>
      <c r="D464">
        <v>1539514</v>
      </c>
      <c r="E464">
        <v>2014</v>
      </c>
      <c r="F464">
        <v>2024</v>
      </c>
      <c r="G464">
        <v>761</v>
      </c>
      <c r="H464">
        <v>136</v>
      </c>
    </row>
    <row r="465" spans="1:8" x14ac:dyDescent="0.2">
      <c r="A465" s="1">
        <v>1</v>
      </c>
      <c r="B465">
        <v>3</v>
      </c>
      <c r="C465">
        <v>2.5</v>
      </c>
      <c r="D465">
        <v>1339000</v>
      </c>
      <c r="E465">
        <v>2015</v>
      </c>
      <c r="F465">
        <v>2133</v>
      </c>
      <c r="G465">
        <v>628</v>
      </c>
      <c r="H465">
        <v>143</v>
      </c>
    </row>
    <row r="466" spans="1:8" x14ac:dyDescent="0.2">
      <c r="A466" s="1">
        <v>1</v>
      </c>
      <c r="B466">
        <v>3</v>
      </c>
      <c r="C466">
        <v>2.5</v>
      </c>
      <c r="D466">
        <v>1294000</v>
      </c>
      <c r="E466">
        <v>2015</v>
      </c>
      <c r="F466">
        <v>2133</v>
      </c>
      <c r="G466">
        <v>607</v>
      </c>
      <c r="H466">
        <v>143</v>
      </c>
    </row>
    <row r="467" spans="1:8" x14ac:dyDescent="0.2">
      <c r="A467" s="1">
        <v>1</v>
      </c>
      <c r="B467">
        <v>3</v>
      </c>
      <c r="C467">
        <v>2.5</v>
      </c>
      <c r="D467">
        <v>1611000</v>
      </c>
      <c r="E467">
        <v>2015</v>
      </c>
      <c r="F467">
        <v>2001</v>
      </c>
      <c r="G467">
        <v>805</v>
      </c>
      <c r="H467">
        <v>153</v>
      </c>
    </row>
    <row r="468" spans="1:8" x14ac:dyDescent="0.2">
      <c r="A468" s="1">
        <v>1</v>
      </c>
      <c r="B468">
        <v>2</v>
      </c>
      <c r="C468">
        <v>2</v>
      </c>
      <c r="D468">
        <v>1495000</v>
      </c>
      <c r="E468">
        <v>1913</v>
      </c>
      <c r="F468">
        <v>1174</v>
      </c>
      <c r="G468">
        <v>1273</v>
      </c>
      <c r="H468">
        <v>35</v>
      </c>
    </row>
    <row r="469" spans="1:8" x14ac:dyDescent="0.2">
      <c r="A469" s="1">
        <v>1</v>
      </c>
      <c r="B469">
        <v>1</v>
      </c>
      <c r="C469">
        <v>1</v>
      </c>
      <c r="D469">
        <v>699000</v>
      </c>
      <c r="E469">
        <v>1908</v>
      </c>
      <c r="F469">
        <v>750</v>
      </c>
      <c r="G469">
        <v>932</v>
      </c>
      <c r="H469">
        <v>36</v>
      </c>
    </row>
    <row r="470" spans="1:8" x14ac:dyDescent="0.2">
      <c r="A470" s="1">
        <v>1</v>
      </c>
      <c r="B470">
        <v>2</v>
      </c>
      <c r="C470">
        <v>2.5</v>
      </c>
      <c r="D470">
        <v>3495000</v>
      </c>
      <c r="E470">
        <v>1900</v>
      </c>
      <c r="F470">
        <v>1968</v>
      </c>
      <c r="G470">
        <v>1776</v>
      </c>
      <c r="H470">
        <v>76</v>
      </c>
    </row>
    <row r="471" spans="1:8" x14ac:dyDescent="0.2">
      <c r="A471" s="1">
        <v>1</v>
      </c>
      <c r="B471">
        <v>4</v>
      </c>
      <c r="C471">
        <v>2</v>
      </c>
      <c r="D471">
        <v>699000</v>
      </c>
      <c r="E471">
        <v>1949</v>
      </c>
      <c r="F471">
        <v>1550</v>
      </c>
      <c r="G471">
        <v>451</v>
      </c>
      <c r="H471">
        <v>11</v>
      </c>
    </row>
    <row r="472" spans="1:8" x14ac:dyDescent="0.2">
      <c r="A472" s="1">
        <v>1</v>
      </c>
      <c r="B472">
        <v>2</v>
      </c>
      <c r="C472">
        <v>1</v>
      </c>
      <c r="D472">
        <v>699000</v>
      </c>
      <c r="E472">
        <v>1949</v>
      </c>
      <c r="F472">
        <v>1050</v>
      </c>
      <c r="G472">
        <v>666</v>
      </c>
      <c r="H472">
        <v>64</v>
      </c>
    </row>
    <row r="473" spans="1:8" x14ac:dyDescent="0.2">
      <c r="A473" s="1">
        <v>1</v>
      </c>
      <c r="B473">
        <v>3</v>
      </c>
      <c r="C473">
        <v>3</v>
      </c>
      <c r="D473">
        <v>888000</v>
      </c>
      <c r="E473">
        <v>1975</v>
      </c>
      <c r="F473">
        <v>1555</v>
      </c>
      <c r="G473">
        <v>571</v>
      </c>
      <c r="H473">
        <v>79</v>
      </c>
    </row>
    <row r="474" spans="1:8" x14ac:dyDescent="0.2">
      <c r="A474" s="1">
        <v>1</v>
      </c>
      <c r="B474">
        <v>1</v>
      </c>
      <c r="C474">
        <v>1</v>
      </c>
      <c r="D474">
        <v>599000</v>
      </c>
      <c r="E474">
        <v>1945</v>
      </c>
      <c r="F474">
        <v>631</v>
      </c>
      <c r="G474">
        <v>949</v>
      </c>
      <c r="H474">
        <v>84</v>
      </c>
    </row>
    <row r="475" spans="1:8" x14ac:dyDescent="0.2">
      <c r="A475" s="1">
        <v>1</v>
      </c>
      <c r="B475">
        <v>3</v>
      </c>
      <c r="C475">
        <v>3</v>
      </c>
      <c r="D475">
        <v>758000</v>
      </c>
      <c r="E475">
        <v>1989</v>
      </c>
      <c r="F475">
        <v>2157</v>
      </c>
      <c r="G475">
        <v>351</v>
      </c>
      <c r="H475">
        <v>90</v>
      </c>
    </row>
    <row r="476" spans="1:8" x14ac:dyDescent="0.2">
      <c r="A476" s="1">
        <v>1</v>
      </c>
      <c r="B476">
        <v>2</v>
      </c>
      <c r="C476">
        <v>2</v>
      </c>
      <c r="D476">
        <v>1698000</v>
      </c>
      <c r="E476">
        <v>2008</v>
      </c>
      <c r="F476">
        <v>1620</v>
      </c>
      <c r="G476">
        <v>1048</v>
      </c>
      <c r="H476">
        <v>1</v>
      </c>
    </row>
    <row r="477" spans="1:8" x14ac:dyDescent="0.2">
      <c r="A477" s="1">
        <v>1</v>
      </c>
      <c r="B477">
        <v>2</v>
      </c>
      <c r="C477">
        <v>2</v>
      </c>
      <c r="D477">
        <v>1698000</v>
      </c>
      <c r="E477">
        <v>2008</v>
      </c>
      <c r="F477">
        <v>1620</v>
      </c>
      <c r="G477">
        <v>1048</v>
      </c>
      <c r="H477">
        <v>1</v>
      </c>
    </row>
    <row r="478" spans="1:8" x14ac:dyDescent="0.2">
      <c r="A478" s="1">
        <v>1</v>
      </c>
      <c r="B478">
        <v>1</v>
      </c>
      <c r="C478">
        <v>1</v>
      </c>
      <c r="D478">
        <v>849000</v>
      </c>
      <c r="E478">
        <v>2012</v>
      </c>
      <c r="F478">
        <v>886</v>
      </c>
      <c r="G478">
        <v>958</v>
      </c>
      <c r="H478">
        <v>2</v>
      </c>
    </row>
    <row r="479" spans="1:8" x14ac:dyDescent="0.2">
      <c r="A479" s="1">
        <v>1</v>
      </c>
      <c r="B479">
        <v>2</v>
      </c>
      <c r="C479">
        <v>2</v>
      </c>
      <c r="D479">
        <v>1675000</v>
      </c>
      <c r="E479">
        <v>2012</v>
      </c>
      <c r="F479">
        <v>1562</v>
      </c>
      <c r="G479">
        <v>1072</v>
      </c>
      <c r="H479">
        <v>2</v>
      </c>
    </row>
    <row r="480" spans="1:8" x14ac:dyDescent="0.2">
      <c r="A480" s="1">
        <v>1</v>
      </c>
      <c r="B480">
        <v>2</v>
      </c>
      <c r="C480">
        <v>2</v>
      </c>
      <c r="D480">
        <v>1695000</v>
      </c>
      <c r="E480">
        <v>2007</v>
      </c>
      <c r="F480">
        <v>1610</v>
      </c>
      <c r="G480">
        <v>1053</v>
      </c>
      <c r="H480">
        <v>2</v>
      </c>
    </row>
    <row r="481" spans="1:8" x14ac:dyDescent="0.2">
      <c r="A481" s="1">
        <v>1</v>
      </c>
      <c r="B481">
        <v>3</v>
      </c>
      <c r="C481">
        <v>2</v>
      </c>
      <c r="D481">
        <v>2219000</v>
      </c>
      <c r="E481">
        <v>2012</v>
      </c>
      <c r="F481">
        <v>1921</v>
      </c>
      <c r="G481">
        <v>1155</v>
      </c>
      <c r="H481">
        <v>13</v>
      </c>
    </row>
    <row r="482" spans="1:8" x14ac:dyDescent="0.2">
      <c r="A482" s="1">
        <v>1</v>
      </c>
      <c r="B482">
        <v>1</v>
      </c>
      <c r="C482">
        <v>1</v>
      </c>
      <c r="D482">
        <v>788000</v>
      </c>
      <c r="E482">
        <v>2004</v>
      </c>
      <c r="F482">
        <v>903</v>
      </c>
      <c r="G482">
        <v>873</v>
      </c>
      <c r="H482">
        <v>4</v>
      </c>
    </row>
    <row r="483" spans="1:8" x14ac:dyDescent="0.2">
      <c r="A483" s="1">
        <v>1</v>
      </c>
      <c r="B483">
        <v>2</v>
      </c>
      <c r="C483">
        <v>2</v>
      </c>
      <c r="D483">
        <v>1950000</v>
      </c>
      <c r="E483">
        <v>1995</v>
      </c>
      <c r="F483">
        <v>1930</v>
      </c>
      <c r="G483">
        <v>1010</v>
      </c>
      <c r="H483">
        <v>4</v>
      </c>
    </row>
    <row r="484" spans="1:8" x14ac:dyDescent="0.2">
      <c r="A484" s="1">
        <v>1</v>
      </c>
      <c r="B484">
        <v>0</v>
      </c>
      <c r="C484">
        <v>1</v>
      </c>
      <c r="D484">
        <v>539000</v>
      </c>
      <c r="E484">
        <v>2000</v>
      </c>
      <c r="F484">
        <v>709</v>
      </c>
      <c r="G484">
        <v>760</v>
      </c>
      <c r="H484">
        <v>5</v>
      </c>
    </row>
    <row r="485" spans="1:8" x14ac:dyDescent="0.2">
      <c r="A485" s="1">
        <v>1</v>
      </c>
      <c r="B485">
        <v>2</v>
      </c>
      <c r="C485">
        <v>2</v>
      </c>
      <c r="D485">
        <v>849000</v>
      </c>
      <c r="E485">
        <v>1982</v>
      </c>
      <c r="F485">
        <v>1030</v>
      </c>
      <c r="G485">
        <v>824</v>
      </c>
      <c r="H485">
        <v>24</v>
      </c>
    </row>
    <row r="486" spans="1:8" x14ac:dyDescent="0.2">
      <c r="A486" s="1">
        <v>1</v>
      </c>
      <c r="B486">
        <v>2</v>
      </c>
      <c r="C486">
        <v>2.5</v>
      </c>
      <c r="D486">
        <v>2495000</v>
      </c>
      <c r="E486">
        <v>1940</v>
      </c>
      <c r="F486">
        <v>1809</v>
      </c>
      <c r="G486">
        <v>1379</v>
      </c>
      <c r="H486">
        <v>48</v>
      </c>
    </row>
    <row r="487" spans="1:8" x14ac:dyDescent="0.2">
      <c r="A487" s="1">
        <v>1</v>
      </c>
      <c r="B487">
        <v>4</v>
      </c>
      <c r="C487">
        <v>4</v>
      </c>
      <c r="D487">
        <v>3760000</v>
      </c>
      <c r="E487">
        <v>1894</v>
      </c>
      <c r="F487">
        <v>3085</v>
      </c>
      <c r="G487">
        <v>1219</v>
      </c>
      <c r="H487">
        <v>49</v>
      </c>
    </row>
    <row r="488" spans="1:8" x14ac:dyDescent="0.2">
      <c r="A488" s="1">
        <v>1</v>
      </c>
      <c r="B488">
        <v>3</v>
      </c>
      <c r="C488">
        <v>2</v>
      </c>
      <c r="D488">
        <v>1799000</v>
      </c>
      <c r="E488">
        <v>1926</v>
      </c>
      <c r="F488">
        <v>1800</v>
      </c>
      <c r="G488">
        <v>999</v>
      </c>
      <c r="H488">
        <v>66</v>
      </c>
    </row>
    <row r="489" spans="1:8" x14ac:dyDescent="0.2">
      <c r="A489" s="1">
        <v>1</v>
      </c>
      <c r="B489">
        <v>5</v>
      </c>
      <c r="C489">
        <v>2.5</v>
      </c>
      <c r="D489">
        <v>1800000</v>
      </c>
      <c r="E489">
        <v>1890</v>
      </c>
      <c r="F489">
        <v>3073</v>
      </c>
      <c r="G489">
        <v>586</v>
      </c>
      <c r="H489">
        <v>76</v>
      </c>
    </row>
    <row r="490" spans="1:8" x14ac:dyDescent="0.2">
      <c r="A490" s="1">
        <v>1</v>
      </c>
      <c r="B490">
        <v>2</v>
      </c>
      <c r="C490">
        <v>1</v>
      </c>
      <c r="D490">
        <v>695000</v>
      </c>
      <c r="E490">
        <v>1923</v>
      </c>
      <c r="F490">
        <v>1045</v>
      </c>
      <c r="G490">
        <v>665</v>
      </c>
      <c r="H490">
        <v>106</v>
      </c>
    </row>
    <row r="491" spans="1:8" x14ac:dyDescent="0.2">
      <c r="A491" s="1">
        <v>1</v>
      </c>
      <c r="B491">
        <v>3</v>
      </c>
      <c r="C491">
        <v>2</v>
      </c>
      <c r="D491">
        <v>1650000</v>
      </c>
      <c r="E491">
        <v>1922</v>
      </c>
      <c r="F491">
        <v>1483</v>
      </c>
      <c r="G491">
        <v>1113</v>
      </c>
      <c r="H491">
        <v>106</v>
      </c>
    </row>
    <row r="492" spans="1:8" x14ac:dyDescent="0.2">
      <c r="A492" s="1">
        <v>1</v>
      </c>
      <c r="B492">
        <v>1</v>
      </c>
      <c r="C492">
        <v>1</v>
      </c>
      <c r="D492">
        <v>649000</v>
      </c>
      <c r="E492">
        <v>1983</v>
      </c>
      <c r="F492">
        <v>850</v>
      </c>
      <c r="G492">
        <v>764</v>
      </c>
      <c r="H492">
        <v>163</v>
      </c>
    </row>
    <row r="493" spans="1:8" x14ac:dyDescent="0.2">
      <c r="A493" s="1">
        <v>1</v>
      </c>
      <c r="B493">
        <v>3</v>
      </c>
      <c r="C493">
        <v>2</v>
      </c>
      <c r="D493">
        <v>995000</v>
      </c>
      <c r="E493">
        <v>1956</v>
      </c>
      <c r="F493">
        <v>1305</v>
      </c>
      <c r="G493">
        <v>762</v>
      </c>
      <c r="H493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17C2-416E-3B45-BB90-BD0627C21B97}">
  <dimension ref="A1:O493"/>
  <sheetViews>
    <sheetView workbookViewId="0">
      <selection activeCell="F11" sqref="F11"/>
    </sheetView>
  </sheetViews>
  <sheetFormatPr baseColWidth="10" defaultRowHeight="16" x14ac:dyDescent="0.2"/>
  <cols>
    <col min="1" max="1" width="13" bestFit="1" customWidth="1"/>
    <col min="12" max="12" width="12.1640625" bestFit="1" customWidth="1"/>
    <col min="13" max="13" width="12.83203125" bestFit="1" customWidth="1"/>
  </cols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5" t="s">
        <v>9</v>
      </c>
      <c r="K1" s="7" t="s">
        <v>10</v>
      </c>
      <c r="L1" s="9" t="s">
        <v>11</v>
      </c>
      <c r="M1" s="3" t="s">
        <v>12</v>
      </c>
    </row>
    <row r="2" spans="1:15" x14ac:dyDescent="0.2">
      <c r="A2" s="1">
        <v>0</v>
      </c>
      <c r="B2">
        <v>2</v>
      </c>
      <c r="C2">
        <v>1</v>
      </c>
      <c r="D2">
        <v>999000</v>
      </c>
      <c r="E2">
        <v>1960</v>
      </c>
      <c r="F2">
        <v>1000</v>
      </c>
      <c r="G2">
        <v>999</v>
      </c>
      <c r="H2">
        <v>10</v>
      </c>
      <c r="I2" s="4">
        <f>+(H2*E2)+G2</f>
        <v>20599</v>
      </c>
      <c r="J2" s="6">
        <f>+(3.1416*G2*H2)*SQRT(F2)</f>
        <v>992467.6885687795</v>
      </c>
      <c r="K2" s="8">
        <f>+H2-F2</f>
        <v>-990</v>
      </c>
      <c r="L2" s="10">
        <f>+J2*E2*H2</f>
        <v>19452366695.948078</v>
      </c>
      <c r="M2" s="4">
        <f>(K2*L2/465743*D2)/3600000</f>
        <v>-11474249.619520498</v>
      </c>
    </row>
    <row r="3" spans="1:15" x14ac:dyDescent="0.2">
      <c r="A3" s="1">
        <v>0</v>
      </c>
      <c r="B3">
        <v>2</v>
      </c>
      <c r="C3">
        <v>2</v>
      </c>
      <c r="D3">
        <v>2750000</v>
      </c>
      <c r="E3">
        <v>2006</v>
      </c>
      <c r="F3">
        <v>1418</v>
      </c>
      <c r="G3">
        <v>1939</v>
      </c>
      <c r="H3">
        <v>0</v>
      </c>
      <c r="I3" s="4">
        <f t="shared" ref="I3:I66" si="0">+(H3*E3)+G3</f>
        <v>1939</v>
      </c>
      <c r="J3" s="6">
        <f t="shared" ref="J3:J66" si="1">+(3.1416*G3*H3)*SQRT(F3)</f>
        <v>0</v>
      </c>
      <c r="K3" s="8">
        <f t="shared" ref="K3:K66" si="2">+H3-F3</f>
        <v>-1418</v>
      </c>
      <c r="L3" s="10">
        <f t="shared" ref="L3:L66" si="3">+J3*E3*H3</f>
        <v>0</v>
      </c>
      <c r="M3" s="4">
        <f t="shared" ref="M3:M66" si="4">(K3*L3/465743*D3)/3600000</f>
        <v>0</v>
      </c>
    </row>
    <row r="4" spans="1:15" x14ac:dyDescent="0.2">
      <c r="A4" s="1">
        <v>0</v>
      </c>
      <c r="B4">
        <v>2</v>
      </c>
      <c r="C4">
        <v>2</v>
      </c>
      <c r="D4">
        <v>1350000</v>
      </c>
      <c r="E4">
        <v>1900</v>
      </c>
      <c r="F4">
        <v>2150</v>
      </c>
      <c r="G4">
        <v>628</v>
      </c>
      <c r="H4">
        <v>9</v>
      </c>
      <c r="I4" s="4">
        <f t="shared" si="0"/>
        <v>17728</v>
      </c>
      <c r="J4" s="6">
        <f t="shared" si="1"/>
        <v>823326.83619759732</v>
      </c>
      <c r="K4" s="8">
        <f t="shared" si="2"/>
        <v>-2141</v>
      </c>
      <c r="L4" s="10">
        <f t="shared" si="3"/>
        <v>14078888898.978914</v>
      </c>
      <c r="M4" s="4">
        <f t="shared" si="4"/>
        <v>-24270011.41137429</v>
      </c>
    </row>
    <row r="5" spans="1:15" x14ac:dyDescent="0.2">
      <c r="A5" s="1">
        <v>0</v>
      </c>
      <c r="B5">
        <v>1</v>
      </c>
      <c r="C5">
        <v>1</v>
      </c>
      <c r="D5">
        <v>629000</v>
      </c>
      <c r="E5">
        <v>1903</v>
      </c>
      <c r="F5">
        <v>500</v>
      </c>
      <c r="G5">
        <v>1258</v>
      </c>
      <c r="H5">
        <v>9</v>
      </c>
      <c r="I5" s="4">
        <f t="shared" si="0"/>
        <v>18385</v>
      </c>
      <c r="J5" s="6">
        <f t="shared" si="1"/>
        <v>795351.38372159237</v>
      </c>
      <c r="K5" s="8">
        <f t="shared" si="2"/>
        <v>-491</v>
      </c>
      <c r="L5" s="10">
        <f t="shared" si="3"/>
        <v>13621983148.999714</v>
      </c>
      <c r="M5" s="4">
        <f t="shared" si="4"/>
        <v>-2509132.7511774632</v>
      </c>
    </row>
    <row r="6" spans="1:15" x14ac:dyDescent="0.2">
      <c r="A6" s="1">
        <v>0</v>
      </c>
      <c r="B6">
        <v>0</v>
      </c>
      <c r="C6">
        <v>1</v>
      </c>
      <c r="D6">
        <v>439000</v>
      </c>
      <c r="E6">
        <v>1930</v>
      </c>
      <c r="F6">
        <v>500</v>
      </c>
      <c r="G6">
        <v>878</v>
      </c>
      <c r="H6">
        <v>10</v>
      </c>
      <c r="I6" s="4">
        <f t="shared" si="0"/>
        <v>20178</v>
      </c>
      <c r="J6" s="6">
        <f t="shared" si="1"/>
        <v>616780.17568235123</v>
      </c>
      <c r="K6" s="8">
        <f t="shared" si="2"/>
        <v>-490</v>
      </c>
      <c r="L6" s="10">
        <f t="shared" si="3"/>
        <v>11903857390.66938</v>
      </c>
      <c r="M6" s="4">
        <f t="shared" si="4"/>
        <v>-1527212.5300069461</v>
      </c>
    </row>
    <row r="7" spans="1:15" x14ac:dyDescent="0.2">
      <c r="A7" s="1">
        <v>0</v>
      </c>
      <c r="B7">
        <v>0</v>
      </c>
      <c r="C7">
        <v>1</v>
      </c>
      <c r="D7">
        <v>439000</v>
      </c>
      <c r="E7">
        <v>1930</v>
      </c>
      <c r="F7">
        <v>500</v>
      </c>
      <c r="G7">
        <v>878</v>
      </c>
      <c r="H7">
        <v>10</v>
      </c>
      <c r="I7" s="4">
        <f t="shared" si="0"/>
        <v>20178</v>
      </c>
      <c r="J7" s="6">
        <f t="shared" si="1"/>
        <v>616780.17568235123</v>
      </c>
      <c r="K7" s="8">
        <f t="shared" si="2"/>
        <v>-490</v>
      </c>
      <c r="L7" s="10">
        <f t="shared" si="3"/>
        <v>11903857390.66938</v>
      </c>
      <c r="M7" s="4">
        <f t="shared" si="4"/>
        <v>-1527212.5300069461</v>
      </c>
      <c r="O7" s="11" t="s">
        <v>14</v>
      </c>
    </row>
    <row r="8" spans="1:15" x14ac:dyDescent="0.2">
      <c r="A8" s="1">
        <v>0</v>
      </c>
      <c r="B8">
        <v>1</v>
      </c>
      <c r="C8">
        <v>1</v>
      </c>
      <c r="D8">
        <v>475000</v>
      </c>
      <c r="E8">
        <v>1920</v>
      </c>
      <c r="F8">
        <v>500</v>
      </c>
      <c r="G8">
        <v>950</v>
      </c>
      <c r="H8">
        <v>10</v>
      </c>
      <c r="I8" s="4">
        <f t="shared" si="0"/>
        <v>20150</v>
      </c>
      <c r="J8" s="6">
        <f t="shared" si="1"/>
        <v>667358.96002076729</v>
      </c>
      <c r="K8" s="8">
        <f t="shared" si="2"/>
        <v>-490</v>
      </c>
      <c r="L8" s="10">
        <f t="shared" si="3"/>
        <v>12813292032.398731</v>
      </c>
      <c r="M8" s="4">
        <f t="shared" si="4"/>
        <v>-1778695.3800109625</v>
      </c>
      <c r="O8" s="2"/>
    </row>
    <row r="9" spans="1:15" x14ac:dyDescent="0.2">
      <c r="A9" s="1">
        <v>0</v>
      </c>
      <c r="B9">
        <v>1</v>
      </c>
      <c r="C9">
        <v>1</v>
      </c>
      <c r="D9">
        <v>975000</v>
      </c>
      <c r="E9">
        <v>1930</v>
      </c>
      <c r="F9">
        <v>900</v>
      </c>
      <c r="G9">
        <v>1083</v>
      </c>
      <c r="H9">
        <v>10</v>
      </c>
      <c r="I9" s="4">
        <f t="shared" si="0"/>
        <v>20383</v>
      </c>
      <c r="J9" s="6">
        <f t="shared" si="1"/>
        <v>1020705.84</v>
      </c>
      <c r="K9" s="8">
        <f t="shared" si="2"/>
        <v>-890</v>
      </c>
      <c r="L9" s="10">
        <f t="shared" si="3"/>
        <v>19699622712</v>
      </c>
      <c r="M9" s="4">
        <f t="shared" si="4"/>
        <v>-10195386.492561348</v>
      </c>
      <c r="O9" s="2" t="s">
        <v>13</v>
      </c>
    </row>
    <row r="10" spans="1:15" x14ac:dyDescent="0.2">
      <c r="A10" s="1">
        <v>0</v>
      </c>
      <c r="B10">
        <v>1</v>
      </c>
      <c r="C10">
        <v>1</v>
      </c>
      <c r="D10">
        <v>975000</v>
      </c>
      <c r="E10">
        <v>1930</v>
      </c>
      <c r="F10">
        <v>900</v>
      </c>
      <c r="G10">
        <v>1083</v>
      </c>
      <c r="H10">
        <v>12</v>
      </c>
      <c r="I10" s="4">
        <f t="shared" si="0"/>
        <v>24243</v>
      </c>
      <c r="J10" s="6">
        <f t="shared" si="1"/>
        <v>1224847.0079999999</v>
      </c>
      <c r="K10" s="8">
        <f t="shared" si="2"/>
        <v>-888</v>
      </c>
      <c r="L10" s="10">
        <f t="shared" si="3"/>
        <v>28367456705.279999</v>
      </c>
      <c r="M10" s="4">
        <f t="shared" si="4"/>
        <v>-14648364.736818032</v>
      </c>
    </row>
    <row r="11" spans="1:15" x14ac:dyDescent="0.2">
      <c r="A11" s="1">
        <v>0</v>
      </c>
      <c r="B11">
        <v>2</v>
      </c>
      <c r="C11">
        <v>1</v>
      </c>
      <c r="D11">
        <v>1895000</v>
      </c>
      <c r="E11">
        <v>1921</v>
      </c>
      <c r="F11">
        <v>1000</v>
      </c>
      <c r="G11">
        <v>1895</v>
      </c>
      <c r="H11">
        <v>12</v>
      </c>
      <c r="I11" s="4">
        <f t="shared" si="0"/>
        <v>24947</v>
      </c>
      <c r="J11" s="6">
        <f t="shared" si="1"/>
        <v>2259130.6544598644</v>
      </c>
      <c r="K11" s="8">
        <f t="shared" si="2"/>
        <v>-988</v>
      </c>
      <c r="L11" s="10">
        <f t="shared" si="3"/>
        <v>52077479846.608795</v>
      </c>
      <c r="M11" s="4">
        <f t="shared" si="4"/>
        <v>-58152351.557745002</v>
      </c>
    </row>
    <row r="12" spans="1:15" x14ac:dyDescent="0.2">
      <c r="A12" s="1">
        <v>0</v>
      </c>
      <c r="B12">
        <v>3</v>
      </c>
      <c r="C12">
        <v>3</v>
      </c>
      <c r="D12">
        <v>2095000</v>
      </c>
      <c r="E12">
        <v>1926</v>
      </c>
      <c r="F12">
        <v>2200</v>
      </c>
      <c r="G12">
        <v>952</v>
      </c>
      <c r="H12">
        <v>4</v>
      </c>
      <c r="I12" s="4">
        <f t="shared" si="0"/>
        <v>8656</v>
      </c>
      <c r="J12" s="6">
        <f t="shared" si="1"/>
        <v>561124.41855241382</v>
      </c>
      <c r="K12" s="8">
        <f t="shared" si="2"/>
        <v>-2196</v>
      </c>
      <c r="L12" s="10">
        <f t="shared" si="3"/>
        <v>4322902520.5277958</v>
      </c>
      <c r="M12" s="4">
        <f t="shared" si="4"/>
        <v>-11861591.641975289</v>
      </c>
    </row>
    <row r="13" spans="1:15" x14ac:dyDescent="0.2">
      <c r="A13" s="1">
        <v>0</v>
      </c>
      <c r="B13">
        <v>1</v>
      </c>
      <c r="C13">
        <v>1</v>
      </c>
      <c r="D13">
        <v>999000</v>
      </c>
      <c r="E13">
        <v>1982</v>
      </c>
      <c r="F13">
        <v>784</v>
      </c>
      <c r="G13">
        <v>1274</v>
      </c>
      <c r="H13">
        <v>5</v>
      </c>
      <c r="I13" s="4">
        <f t="shared" si="0"/>
        <v>11184</v>
      </c>
      <c r="J13" s="6">
        <f t="shared" si="1"/>
        <v>560335.77599999995</v>
      </c>
      <c r="K13" s="8">
        <f t="shared" si="2"/>
        <v>-779</v>
      </c>
      <c r="L13" s="10">
        <f t="shared" si="3"/>
        <v>5552927540.1599989</v>
      </c>
      <c r="M13" s="4">
        <f t="shared" si="4"/>
        <v>-2577366.1196738058</v>
      </c>
    </row>
    <row r="14" spans="1:15" x14ac:dyDescent="0.2">
      <c r="A14" s="1">
        <v>0</v>
      </c>
      <c r="B14">
        <v>1</v>
      </c>
      <c r="C14">
        <v>1</v>
      </c>
      <c r="D14">
        <v>999000</v>
      </c>
      <c r="E14">
        <v>1982</v>
      </c>
      <c r="F14">
        <v>784</v>
      </c>
      <c r="G14">
        <v>1274</v>
      </c>
      <c r="H14">
        <v>5</v>
      </c>
      <c r="I14" s="4">
        <f t="shared" si="0"/>
        <v>11184</v>
      </c>
      <c r="J14" s="6">
        <f t="shared" si="1"/>
        <v>560335.77599999995</v>
      </c>
      <c r="K14" s="8">
        <f t="shared" si="2"/>
        <v>-779</v>
      </c>
      <c r="L14" s="10">
        <f t="shared" si="3"/>
        <v>5552927540.1599989</v>
      </c>
      <c r="M14" s="4">
        <f t="shared" si="4"/>
        <v>-2577366.1196738058</v>
      </c>
    </row>
    <row r="15" spans="1:15" x14ac:dyDescent="0.2">
      <c r="A15" s="1">
        <v>0</v>
      </c>
      <c r="B15">
        <v>1</v>
      </c>
      <c r="C15">
        <v>1</v>
      </c>
      <c r="D15">
        <v>1249000</v>
      </c>
      <c r="E15">
        <v>1987</v>
      </c>
      <c r="F15">
        <v>826</v>
      </c>
      <c r="G15">
        <v>1512</v>
      </c>
      <c r="H15">
        <v>3</v>
      </c>
      <c r="I15" s="4">
        <f t="shared" si="0"/>
        <v>7473</v>
      </c>
      <c r="J15" s="6">
        <f t="shared" si="1"/>
        <v>409556.6271893977</v>
      </c>
      <c r="K15" s="8">
        <f t="shared" si="2"/>
        <v>-823</v>
      </c>
      <c r="L15" s="10">
        <f t="shared" si="3"/>
        <v>2441367054.6759996</v>
      </c>
      <c r="M15" s="4">
        <f t="shared" si="4"/>
        <v>-1496740.5202320307</v>
      </c>
    </row>
    <row r="16" spans="1:15" x14ac:dyDescent="0.2">
      <c r="A16" s="1">
        <v>0</v>
      </c>
      <c r="B16">
        <v>0</v>
      </c>
      <c r="C16">
        <v>1</v>
      </c>
      <c r="D16">
        <v>1110000</v>
      </c>
      <c r="E16">
        <v>2008</v>
      </c>
      <c r="F16">
        <v>698</v>
      </c>
      <c r="G16">
        <v>1590</v>
      </c>
      <c r="H16">
        <v>5</v>
      </c>
      <c r="I16" s="4">
        <f t="shared" si="0"/>
        <v>11630</v>
      </c>
      <c r="J16" s="6">
        <f t="shared" si="1"/>
        <v>659850.77061699587</v>
      </c>
      <c r="K16" s="8">
        <f t="shared" si="2"/>
        <v>-693</v>
      </c>
      <c r="L16" s="10">
        <f t="shared" si="3"/>
        <v>6624901736.9946384</v>
      </c>
      <c r="M16" s="4">
        <f t="shared" si="4"/>
        <v>-3039392.7093962319</v>
      </c>
    </row>
    <row r="17" spans="1:13" x14ac:dyDescent="0.2">
      <c r="A17" s="1">
        <v>0</v>
      </c>
      <c r="B17">
        <v>2</v>
      </c>
      <c r="C17">
        <v>2</v>
      </c>
      <c r="D17">
        <v>2059500</v>
      </c>
      <c r="E17">
        <v>2008</v>
      </c>
      <c r="F17">
        <v>1373</v>
      </c>
      <c r="G17">
        <v>1500</v>
      </c>
      <c r="H17">
        <v>5</v>
      </c>
      <c r="I17" s="4">
        <f t="shared" si="0"/>
        <v>11540</v>
      </c>
      <c r="J17" s="6">
        <f t="shared" si="1"/>
        <v>873066.69264839101</v>
      </c>
      <c r="K17" s="8">
        <f t="shared" si="2"/>
        <v>-1368</v>
      </c>
      <c r="L17" s="10">
        <f t="shared" si="3"/>
        <v>8765589594.189846</v>
      </c>
      <c r="M17" s="4">
        <f t="shared" si="4"/>
        <v>-14729234.947833709</v>
      </c>
    </row>
    <row r="18" spans="1:13" x14ac:dyDescent="0.2">
      <c r="A18" s="1">
        <v>0</v>
      </c>
      <c r="B18">
        <v>2</v>
      </c>
      <c r="C18">
        <v>2</v>
      </c>
      <c r="D18">
        <v>2000000</v>
      </c>
      <c r="E18">
        <v>1928</v>
      </c>
      <c r="F18">
        <v>1200</v>
      </c>
      <c r="G18">
        <v>1667</v>
      </c>
      <c r="H18">
        <v>10</v>
      </c>
      <c r="I18" s="4">
        <f t="shared" si="0"/>
        <v>20947</v>
      </c>
      <c r="J18" s="6">
        <f t="shared" si="1"/>
        <v>1814166.3664072657</v>
      </c>
      <c r="K18" s="8">
        <f t="shared" si="2"/>
        <v>-1190</v>
      </c>
      <c r="L18" s="10">
        <f t="shared" si="3"/>
        <v>34977127544.332077</v>
      </c>
      <c r="M18" s="4">
        <f t="shared" si="4"/>
        <v>-49649200.641358927</v>
      </c>
    </row>
    <row r="19" spans="1:13" x14ac:dyDescent="0.2">
      <c r="A19" s="1">
        <v>0</v>
      </c>
      <c r="B19">
        <v>1</v>
      </c>
      <c r="C19">
        <v>1</v>
      </c>
      <c r="D19">
        <v>715000</v>
      </c>
      <c r="E19">
        <v>1903</v>
      </c>
      <c r="F19">
        <v>557</v>
      </c>
      <c r="G19">
        <v>1284</v>
      </c>
      <c r="H19">
        <v>3</v>
      </c>
      <c r="I19" s="4">
        <f t="shared" si="0"/>
        <v>6993</v>
      </c>
      <c r="J19" s="6">
        <f t="shared" si="1"/>
        <v>285604.31479621277</v>
      </c>
      <c r="K19" s="8">
        <f t="shared" si="2"/>
        <v>-554</v>
      </c>
      <c r="L19" s="10">
        <f t="shared" si="3"/>
        <v>1630515033.1715789</v>
      </c>
      <c r="M19" s="4">
        <f t="shared" si="4"/>
        <v>-385204.87681307911</v>
      </c>
    </row>
    <row r="20" spans="1:13" x14ac:dyDescent="0.2">
      <c r="A20" s="1">
        <v>0</v>
      </c>
      <c r="B20">
        <v>2</v>
      </c>
      <c r="C20">
        <v>2</v>
      </c>
      <c r="D20">
        <v>2498000</v>
      </c>
      <c r="E20">
        <v>2005</v>
      </c>
      <c r="F20">
        <v>1260</v>
      </c>
      <c r="G20">
        <v>1983</v>
      </c>
      <c r="H20">
        <v>2</v>
      </c>
      <c r="I20" s="4">
        <f t="shared" si="0"/>
        <v>5993</v>
      </c>
      <c r="J20" s="6">
        <f t="shared" si="1"/>
        <v>442271.41484375461</v>
      </c>
      <c r="K20" s="8">
        <f t="shared" si="2"/>
        <v>-1258</v>
      </c>
      <c r="L20" s="10">
        <f t="shared" si="3"/>
        <v>1773508373.5234561</v>
      </c>
      <c r="M20" s="4">
        <f t="shared" si="4"/>
        <v>-3323972.9538867553</v>
      </c>
    </row>
    <row r="21" spans="1:13" x14ac:dyDescent="0.2">
      <c r="A21" s="1">
        <v>0</v>
      </c>
      <c r="B21">
        <v>2</v>
      </c>
      <c r="C21">
        <v>1.5</v>
      </c>
      <c r="D21">
        <v>2650000</v>
      </c>
      <c r="E21">
        <v>1915</v>
      </c>
      <c r="F21">
        <v>2500</v>
      </c>
      <c r="G21">
        <v>1060</v>
      </c>
      <c r="H21">
        <v>5</v>
      </c>
      <c r="I21" s="4">
        <f t="shared" si="0"/>
        <v>10635</v>
      </c>
      <c r="J21" s="6">
        <f t="shared" si="1"/>
        <v>832524</v>
      </c>
      <c r="K21" s="8">
        <f t="shared" si="2"/>
        <v>-2495</v>
      </c>
      <c r="L21" s="10">
        <f t="shared" si="3"/>
        <v>7971417300</v>
      </c>
      <c r="M21" s="4">
        <f t="shared" si="4"/>
        <v>-31434252.0882851</v>
      </c>
    </row>
    <row r="22" spans="1:13" x14ac:dyDescent="0.2">
      <c r="A22" s="1">
        <v>0</v>
      </c>
      <c r="B22">
        <v>2</v>
      </c>
      <c r="C22">
        <v>2</v>
      </c>
      <c r="D22">
        <v>3450000</v>
      </c>
      <c r="E22">
        <v>1900</v>
      </c>
      <c r="F22">
        <v>1850</v>
      </c>
      <c r="G22">
        <v>1865</v>
      </c>
      <c r="H22">
        <v>9</v>
      </c>
      <c r="I22" s="4">
        <f t="shared" si="0"/>
        <v>18965</v>
      </c>
      <c r="J22" s="6">
        <f t="shared" si="1"/>
        <v>2268078.5850716336</v>
      </c>
      <c r="K22" s="8">
        <f t="shared" si="2"/>
        <v>-1841</v>
      </c>
      <c r="L22" s="10">
        <f t="shared" si="3"/>
        <v>38784143804.72493</v>
      </c>
      <c r="M22" s="4">
        <f t="shared" si="4"/>
        <v>-146919098.54464331</v>
      </c>
    </row>
    <row r="23" spans="1:13" x14ac:dyDescent="0.2">
      <c r="A23" s="1">
        <v>0</v>
      </c>
      <c r="B23">
        <v>1</v>
      </c>
      <c r="C23">
        <v>1</v>
      </c>
      <c r="D23">
        <v>3105000</v>
      </c>
      <c r="E23">
        <v>2016</v>
      </c>
      <c r="F23">
        <v>1108</v>
      </c>
      <c r="G23">
        <v>2802</v>
      </c>
      <c r="H23">
        <v>10</v>
      </c>
      <c r="I23" s="4">
        <f t="shared" si="0"/>
        <v>22962</v>
      </c>
      <c r="J23" s="6">
        <f t="shared" si="1"/>
        <v>2930143.5642378321</v>
      </c>
      <c r="K23" s="8">
        <f t="shared" si="2"/>
        <v>-1098</v>
      </c>
      <c r="L23" s="10">
        <f t="shared" si="3"/>
        <v>59071694255.034698</v>
      </c>
      <c r="M23" s="4">
        <f t="shared" si="4"/>
        <v>-120114250.24503693</v>
      </c>
    </row>
    <row r="24" spans="1:13" x14ac:dyDescent="0.2">
      <c r="A24" s="1">
        <v>0</v>
      </c>
      <c r="B24">
        <v>4</v>
      </c>
      <c r="C24">
        <v>5</v>
      </c>
      <c r="D24">
        <v>13750000</v>
      </c>
      <c r="E24">
        <v>2016</v>
      </c>
      <c r="F24">
        <v>3699</v>
      </c>
      <c r="G24">
        <v>3717</v>
      </c>
      <c r="H24">
        <v>10</v>
      </c>
      <c r="I24" s="4">
        <f t="shared" si="0"/>
        <v>23877</v>
      </c>
      <c r="J24" s="6">
        <f t="shared" si="1"/>
        <v>7102080.8993712934</v>
      </c>
      <c r="K24" s="8">
        <f t="shared" si="2"/>
        <v>-3689</v>
      </c>
      <c r="L24" s="10">
        <f t="shared" si="3"/>
        <v>143177950931.32529</v>
      </c>
      <c r="M24" s="4">
        <f t="shared" si="4"/>
        <v>-4331503395.0249691</v>
      </c>
    </row>
    <row r="25" spans="1:13" x14ac:dyDescent="0.2">
      <c r="A25" s="1">
        <v>0</v>
      </c>
      <c r="B25">
        <v>2</v>
      </c>
      <c r="C25">
        <v>2</v>
      </c>
      <c r="D25">
        <v>1185000</v>
      </c>
      <c r="E25">
        <v>1900</v>
      </c>
      <c r="F25">
        <v>1000</v>
      </c>
      <c r="G25">
        <v>1185</v>
      </c>
      <c r="H25">
        <v>4</v>
      </c>
      <c r="I25" s="4">
        <f t="shared" si="0"/>
        <v>8785</v>
      </c>
      <c r="J25" s="6">
        <f t="shared" si="1"/>
        <v>470900.58496656804</v>
      </c>
      <c r="K25" s="8">
        <f t="shared" si="2"/>
        <v>-996</v>
      </c>
      <c r="L25" s="10">
        <f t="shared" si="3"/>
        <v>3578844445.7459173</v>
      </c>
      <c r="M25" s="4">
        <f t="shared" si="4"/>
        <v>-2519252.3592148437</v>
      </c>
    </row>
    <row r="26" spans="1:13" x14ac:dyDescent="0.2">
      <c r="A26" s="1">
        <v>0</v>
      </c>
      <c r="B26">
        <v>1</v>
      </c>
      <c r="C26">
        <v>2</v>
      </c>
      <c r="D26">
        <v>1699000</v>
      </c>
      <c r="E26">
        <v>1900</v>
      </c>
      <c r="F26">
        <v>1500</v>
      </c>
      <c r="G26">
        <v>1133</v>
      </c>
      <c r="H26">
        <v>5</v>
      </c>
      <c r="I26" s="4">
        <f t="shared" si="0"/>
        <v>10633</v>
      </c>
      <c r="J26" s="6">
        <f t="shared" si="1"/>
        <v>689281.19781722175</v>
      </c>
      <c r="K26" s="8">
        <f t="shared" si="2"/>
        <v>-1495</v>
      </c>
      <c r="L26" s="10">
        <f t="shared" si="3"/>
        <v>6548171379.2636061</v>
      </c>
      <c r="M26" s="4">
        <f t="shared" si="4"/>
        <v>-9919865.2262122966</v>
      </c>
    </row>
    <row r="27" spans="1:13" x14ac:dyDescent="0.2">
      <c r="A27" s="1">
        <v>0</v>
      </c>
      <c r="B27">
        <v>1</v>
      </c>
      <c r="C27">
        <v>1</v>
      </c>
      <c r="D27">
        <v>1195000</v>
      </c>
      <c r="E27">
        <v>1900</v>
      </c>
      <c r="F27">
        <v>1093</v>
      </c>
      <c r="G27">
        <v>1093</v>
      </c>
      <c r="H27">
        <v>6</v>
      </c>
      <c r="I27" s="4">
        <f t="shared" si="0"/>
        <v>12493</v>
      </c>
      <c r="J27" s="6">
        <f t="shared" si="1"/>
        <v>681133.72110481304</v>
      </c>
      <c r="K27" s="8">
        <f t="shared" si="2"/>
        <v>-1087</v>
      </c>
      <c r="L27" s="10">
        <f t="shared" si="3"/>
        <v>7764924420.5948677</v>
      </c>
      <c r="M27" s="4">
        <f t="shared" si="4"/>
        <v>-6015695.5004023509</v>
      </c>
    </row>
    <row r="28" spans="1:13" x14ac:dyDescent="0.2">
      <c r="A28" s="1">
        <v>0</v>
      </c>
      <c r="B28">
        <v>1</v>
      </c>
      <c r="C28">
        <v>1</v>
      </c>
      <c r="D28">
        <v>450000</v>
      </c>
      <c r="E28">
        <v>1920</v>
      </c>
      <c r="F28">
        <v>500</v>
      </c>
      <c r="G28">
        <v>900</v>
      </c>
      <c r="H28">
        <v>10</v>
      </c>
      <c r="I28" s="4">
        <f t="shared" si="0"/>
        <v>20100</v>
      </c>
      <c r="J28" s="6">
        <f t="shared" si="1"/>
        <v>632234.80423020059</v>
      </c>
      <c r="K28" s="8">
        <f t="shared" si="2"/>
        <v>-490</v>
      </c>
      <c r="L28" s="10">
        <f t="shared" si="3"/>
        <v>12138908241.219852</v>
      </c>
      <c r="M28" s="4">
        <f t="shared" si="4"/>
        <v>-1596391.4213948806</v>
      </c>
    </row>
    <row r="29" spans="1:13" x14ac:dyDescent="0.2">
      <c r="A29" s="1">
        <v>0</v>
      </c>
      <c r="B29">
        <v>1</v>
      </c>
      <c r="C29">
        <v>1</v>
      </c>
      <c r="D29">
        <v>1195000</v>
      </c>
      <c r="E29">
        <v>1900</v>
      </c>
      <c r="F29">
        <v>1093</v>
      </c>
      <c r="G29">
        <v>1093</v>
      </c>
      <c r="H29">
        <v>10</v>
      </c>
      <c r="I29" s="4">
        <f t="shared" si="0"/>
        <v>20093</v>
      </c>
      <c r="J29" s="6">
        <f t="shared" si="1"/>
        <v>1135222.8685080216</v>
      </c>
      <c r="K29" s="8">
        <f t="shared" si="2"/>
        <v>-1083</v>
      </c>
      <c r="L29" s="10">
        <f t="shared" si="3"/>
        <v>21569234501.652409</v>
      </c>
      <c r="M29" s="4">
        <f t="shared" si="4"/>
        <v>-16648773.962321747</v>
      </c>
    </row>
    <row r="30" spans="1:13" x14ac:dyDescent="0.2">
      <c r="A30" s="1">
        <v>0</v>
      </c>
      <c r="B30">
        <v>2</v>
      </c>
      <c r="C30">
        <v>2</v>
      </c>
      <c r="D30">
        <v>1185000</v>
      </c>
      <c r="E30">
        <v>1900</v>
      </c>
      <c r="F30">
        <v>1000</v>
      </c>
      <c r="G30">
        <v>1185</v>
      </c>
      <c r="H30">
        <v>10</v>
      </c>
      <c r="I30" s="4">
        <f t="shared" si="0"/>
        <v>20185</v>
      </c>
      <c r="J30" s="6">
        <f t="shared" si="1"/>
        <v>1177251.4624164202</v>
      </c>
      <c r="K30" s="8">
        <f t="shared" si="2"/>
        <v>-990</v>
      </c>
      <c r="L30" s="10">
        <f t="shared" si="3"/>
        <v>22367777785.911983</v>
      </c>
      <c r="M30" s="4">
        <f t="shared" si="4"/>
        <v>-15650475.87614643</v>
      </c>
    </row>
    <row r="31" spans="1:13" x14ac:dyDescent="0.2">
      <c r="A31" s="1">
        <v>0</v>
      </c>
      <c r="B31">
        <v>0</v>
      </c>
      <c r="C31">
        <v>1</v>
      </c>
      <c r="D31">
        <v>625000</v>
      </c>
      <c r="E31">
        <v>1964</v>
      </c>
      <c r="F31">
        <v>800</v>
      </c>
      <c r="G31">
        <v>781</v>
      </c>
      <c r="H31">
        <v>8</v>
      </c>
      <c r="I31" s="4">
        <f t="shared" si="0"/>
        <v>16493</v>
      </c>
      <c r="J31" s="6">
        <f t="shared" si="1"/>
        <v>555183.95021081239</v>
      </c>
      <c r="K31" s="8">
        <f t="shared" si="2"/>
        <v>-792</v>
      </c>
      <c r="L31" s="10">
        <f t="shared" si="3"/>
        <v>8723050225.7122841</v>
      </c>
      <c r="M31" s="4">
        <f t="shared" si="4"/>
        <v>-2575281.6597038261</v>
      </c>
    </row>
    <row r="32" spans="1:13" x14ac:dyDescent="0.2">
      <c r="A32" s="1">
        <v>0</v>
      </c>
      <c r="B32">
        <v>2</v>
      </c>
      <c r="C32">
        <v>2</v>
      </c>
      <c r="D32">
        <v>3159990</v>
      </c>
      <c r="E32">
        <v>2012</v>
      </c>
      <c r="F32">
        <v>1420</v>
      </c>
      <c r="G32">
        <v>2225</v>
      </c>
      <c r="H32">
        <v>8</v>
      </c>
      <c r="I32" s="4">
        <f t="shared" si="0"/>
        <v>18321</v>
      </c>
      <c r="J32" s="6">
        <f t="shared" si="1"/>
        <v>2107245.1491155862</v>
      </c>
      <c r="K32" s="8">
        <f t="shared" si="2"/>
        <v>-1412</v>
      </c>
      <c r="L32" s="10">
        <f t="shared" si="3"/>
        <v>33918217920.164474</v>
      </c>
      <c r="M32" s="4">
        <f t="shared" si="4"/>
        <v>-90261925.554736808</v>
      </c>
    </row>
    <row r="33" spans="1:13" x14ac:dyDescent="0.2">
      <c r="A33" s="1">
        <v>0</v>
      </c>
      <c r="B33">
        <v>2</v>
      </c>
      <c r="C33">
        <v>2</v>
      </c>
      <c r="D33">
        <v>2200000</v>
      </c>
      <c r="E33">
        <v>1920</v>
      </c>
      <c r="F33">
        <v>2050</v>
      </c>
      <c r="G33">
        <v>1073</v>
      </c>
      <c r="H33">
        <v>10</v>
      </c>
      <c r="I33" s="4">
        <f t="shared" si="0"/>
        <v>20273</v>
      </c>
      <c r="J33" s="6">
        <f t="shared" si="1"/>
        <v>1526256.5500160253</v>
      </c>
      <c r="K33" s="8">
        <f t="shared" si="2"/>
        <v>-2040</v>
      </c>
      <c r="L33" s="10">
        <f t="shared" si="3"/>
        <v>29304125760.307686</v>
      </c>
      <c r="M33" s="4">
        <f t="shared" si="4"/>
        <v>-78439132.270766452</v>
      </c>
    </row>
    <row r="34" spans="1:13" x14ac:dyDescent="0.2">
      <c r="A34" s="1">
        <v>0</v>
      </c>
      <c r="B34">
        <v>2</v>
      </c>
      <c r="C34">
        <v>2</v>
      </c>
      <c r="D34">
        <v>4895000</v>
      </c>
      <c r="E34">
        <v>2016</v>
      </c>
      <c r="F34">
        <v>1520</v>
      </c>
      <c r="G34">
        <v>3220</v>
      </c>
      <c r="H34">
        <v>10</v>
      </c>
      <c r="I34" s="4">
        <f t="shared" si="0"/>
        <v>23380</v>
      </c>
      <c r="J34" s="6">
        <f t="shared" si="1"/>
        <v>3943924.1498383563</v>
      </c>
      <c r="K34" s="8">
        <f t="shared" si="2"/>
        <v>-1510</v>
      </c>
      <c r="L34" s="10">
        <f t="shared" si="3"/>
        <v>79509510860.741257</v>
      </c>
      <c r="M34" s="4">
        <f t="shared" si="4"/>
        <v>-350509576.48533034</v>
      </c>
    </row>
    <row r="35" spans="1:13" x14ac:dyDescent="0.2">
      <c r="A35" s="1">
        <v>0</v>
      </c>
      <c r="B35">
        <v>2</v>
      </c>
      <c r="C35">
        <v>2</v>
      </c>
      <c r="D35">
        <v>6525000</v>
      </c>
      <c r="E35">
        <v>2016</v>
      </c>
      <c r="F35">
        <v>2018</v>
      </c>
      <c r="G35">
        <v>3233</v>
      </c>
      <c r="H35">
        <v>10</v>
      </c>
      <c r="I35" s="4">
        <f t="shared" si="0"/>
        <v>23393</v>
      </c>
      <c r="J35" s="6">
        <f t="shared" si="1"/>
        <v>4562650.1935162852</v>
      </c>
      <c r="K35" s="8">
        <f t="shared" si="2"/>
        <v>-2008</v>
      </c>
      <c r="L35" s="10">
        <f t="shared" si="3"/>
        <v>91983027901.2883</v>
      </c>
      <c r="M35" s="4">
        <f t="shared" si="4"/>
        <v>-718791758.6453017</v>
      </c>
    </row>
    <row r="36" spans="1:13" x14ac:dyDescent="0.2">
      <c r="A36" s="1">
        <v>0</v>
      </c>
      <c r="B36">
        <v>2</v>
      </c>
      <c r="C36">
        <v>2</v>
      </c>
      <c r="D36">
        <v>4895000</v>
      </c>
      <c r="E36">
        <v>2016</v>
      </c>
      <c r="F36">
        <v>1520</v>
      </c>
      <c r="G36">
        <v>3220</v>
      </c>
      <c r="H36">
        <v>11</v>
      </c>
      <c r="I36" s="4">
        <f t="shared" si="0"/>
        <v>25396</v>
      </c>
      <c r="J36" s="6">
        <f t="shared" si="1"/>
        <v>4338316.5648221923</v>
      </c>
      <c r="K36" s="8">
        <f t="shared" si="2"/>
        <v>-1509</v>
      </c>
      <c r="L36" s="10">
        <f t="shared" si="3"/>
        <v>96206508141.496933</v>
      </c>
      <c r="M36" s="4">
        <f t="shared" si="4"/>
        <v>-423835715.63496685</v>
      </c>
    </row>
    <row r="37" spans="1:13" x14ac:dyDescent="0.2">
      <c r="A37" s="1">
        <v>0</v>
      </c>
      <c r="B37">
        <v>2</v>
      </c>
      <c r="C37">
        <v>2</v>
      </c>
      <c r="D37">
        <v>6525000</v>
      </c>
      <c r="E37">
        <v>2016</v>
      </c>
      <c r="F37">
        <v>2018</v>
      </c>
      <c r="G37">
        <v>3233</v>
      </c>
      <c r="H37">
        <v>11</v>
      </c>
      <c r="I37" s="4">
        <f t="shared" si="0"/>
        <v>25409</v>
      </c>
      <c r="J37" s="6">
        <f t="shared" si="1"/>
        <v>5018915.2128679147</v>
      </c>
      <c r="K37" s="8">
        <f t="shared" si="2"/>
        <v>-2007</v>
      </c>
      <c r="L37" s="10">
        <f t="shared" si="3"/>
        <v>111299463760.55887</v>
      </c>
      <c r="M37" s="4">
        <f t="shared" si="4"/>
        <v>-869304891.49270737</v>
      </c>
    </row>
    <row r="38" spans="1:13" x14ac:dyDescent="0.2">
      <c r="A38" s="1">
        <v>0</v>
      </c>
      <c r="B38">
        <v>2</v>
      </c>
      <c r="C38">
        <v>2</v>
      </c>
      <c r="D38">
        <v>1675000</v>
      </c>
      <c r="E38">
        <v>2006</v>
      </c>
      <c r="F38">
        <v>1225</v>
      </c>
      <c r="G38">
        <v>1367</v>
      </c>
      <c r="H38">
        <v>12</v>
      </c>
      <c r="I38" s="4">
        <f t="shared" si="0"/>
        <v>25439</v>
      </c>
      <c r="J38" s="6">
        <f t="shared" si="1"/>
        <v>1803718.2239999997</v>
      </c>
      <c r="K38" s="8">
        <f t="shared" si="2"/>
        <v>-1213</v>
      </c>
      <c r="L38" s="10">
        <f t="shared" si="3"/>
        <v>43419105088.127991</v>
      </c>
      <c r="M38" s="4">
        <f t="shared" si="4"/>
        <v>-52614765.988271095</v>
      </c>
    </row>
    <row r="39" spans="1:13" x14ac:dyDescent="0.2">
      <c r="A39" s="1">
        <v>0</v>
      </c>
      <c r="B39">
        <v>2</v>
      </c>
      <c r="C39">
        <v>2</v>
      </c>
      <c r="D39">
        <v>1675000</v>
      </c>
      <c r="E39">
        <v>2006</v>
      </c>
      <c r="F39">
        <v>1225</v>
      </c>
      <c r="G39">
        <v>1367</v>
      </c>
      <c r="H39">
        <v>12</v>
      </c>
      <c r="I39" s="4">
        <f t="shared" si="0"/>
        <v>25439</v>
      </c>
      <c r="J39" s="6">
        <f t="shared" si="1"/>
        <v>1803718.2239999997</v>
      </c>
      <c r="K39" s="8">
        <f t="shared" si="2"/>
        <v>-1213</v>
      </c>
      <c r="L39" s="10">
        <f t="shared" si="3"/>
        <v>43419105088.127991</v>
      </c>
      <c r="M39" s="4">
        <f t="shared" si="4"/>
        <v>-52614765.988271095</v>
      </c>
    </row>
    <row r="40" spans="1:13" x14ac:dyDescent="0.2">
      <c r="A40" s="1">
        <v>0</v>
      </c>
      <c r="B40">
        <v>2</v>
      </c>
      <c r="C40">
        <v>1</v>
      </c>
      <c r="D40">
        <v>999000</v>
      </c>
      <c r="E40">
        <v>1985</v>
      </c>
      <c r="F40">
        <v>799</v>
      </c>
      <c r="G40">
        <v>1250</v>
      </c>
      <c r="H40">
        <v>5</v>
      </c>
      <c r="I40" s="4">
        <f t="shared" si="0"/>
        <v>11175</v>
      </c>
      <c r="J40" s="6">
        <f t="shared" si="1"/>
        <v>555014.45636577788</v>
      </c>
      <c r="K40" s="8">
        <f t="shared" si="2"/>
        <v>-794</v>
      </c>
      <c r="L40" s="10">
        <f t="shared" si="3"/>
        <v>5508518479.4303455</v>
      </c>
      <c r="M40" s="4">
        <f t="shared" si="4"/>
        <v>-2605985.3162909271</v>
      </c>
    </row>
    <row r="41" spans="1:13" x14ac:dyDescent="0.2">
      <c r="A41" s="1">
        <v>0</v>
      </c>
      <c r="B41">
        <v>1</v>
      </c>
      <c r="C41">
        <v>1</v>
      </c>
      <c r="D41">
        <v>1550000</v>
      </c>
      <c r="E41">
        <v>1926</v>
      </c>
      <c r="F41">
        <v>1000</v>
      </c>
      <c r="G41">
        <v>1550</v>
      </c>
      <c r="H41">
        <v>6</v>
      </c>
      <c r="I41" s="4">
        <f t="shared" si="0"/>
        <v>13106</v>
      </c>
      <c r="J41" s="6">
        <f t="shared" si="1"/>
        <v>923918.86923820304</v>
      </c>
      <c r="K41" s="8">
        <f t="shared" si="2"/>
        <v>-994</v>
      </c>
      <c r="L41" s="10">
        <f t="shared" si="3"/>
        <v>10676806452.916676</v>
      </c>
      <c r="M41" s="4">
        <f t="shared" si="4"/>
        <v>-9810939.9043921493</v>
      </c>
    </row>
    <row r="42" spans="1:13" x14ac:dyDescent="0.2">
      <c r="A42" s="1">
        <v>0</v>
      </c>
      <c r="B42">
        <v>1</v>
      </c>
      <c r="C42">
        <v>1</v>
      </c>
      <c r="D42">
        <v>1595000</v>
      </c>
      <c r="E42">
        <v>2015</v>
      </c>
      <c r="F42">
        <v>714</v>
      </c>
      <c r="G42">
        <v>2234</v>
      </c>
      <c r="H42">
        <v>7</v>
      </c>
      <c r="I42" s="4">
        <f t="shared" si="0"/>
        <v>16339</v>
      </c>
      <c r="J42" s="6">
        <f t="shared" si="1"/>
        <v>1312747.5092375206</v>
      </c>
      <c r="K42" s="8">
        <f t="shared" si="2"/>
        <v>-707</v>
      </c>
      <c r="L42" s="10">
        <f t="shared" si="3"/>
        <v>18516303617.795227</v>
      </c>
      <c r="M42" s="4">
        <f t="shared" si="4"/>
        <v>-12453331.748745225</v>
      </c>
    </row>
    <row r="43" spans="1:13" x14ac:dyDescent="0.2">
      <c r="A43" s="1">
        <v>0</v>
      </c>
      <c r="B43">
        <v>2</v>
      </c>
      <c r="C43">
        <v>2</v>
      </c>
      <c r="D43">
        <v>3995000</v>
      </c>
      <c r="E43">
        <v>1906</v>
      </c>
      <c r="F43">
        <v>2400</v>
      </c>
      <c r="G43">
        <v>1665</v>
      </c>
      <c r="H43">
        <v>9</v>
      </c>
      <c r="I43" s="4">
        <f t="shared" si="0"/>
        <v>18819</v>
      </c>
      <c r="J43" s="6">
        <f t="shared" si="1"/>
        <v>2306286.4976855116</v>
      </c>
      <c r="K43" s="8">
        <f t="shared" si="2"/>
        <v>-2391</v>
      </c>
      <c r="L43" s="10">
        <f t="shared" si="3"/>
        <v>39562038581.297264</v>
      </c>
      <c r="M43" s="4">
        <f t="shared" si="4"/>
        <v>-225385610.14949811</v>
      </c>
    </row>
    <row r="44" spans="1:13" x14ac:dyDescent="0.2">
      <c r="A44" s="1">
        <v>0</v>
      </c>
      <c r="B44">
        <v>1</v>
      </c>
      <c r="C44">
        <v>1</v>
      </c>
      <c r="D44">
        <v>1285000</v>
      </c>
      <c r="E44">
        <v>2012</v>
      </c>
      <c r="F44">
        <v>749</v>
      </c>
      <c r="G44">
        <v>1716</v>
      </c>
      <c r="H44">
        <v>10</v>
      </c>
      <c r="I44" s="4">
        <f t="shared" si="0"/>
        <v>21836</v>
      </c>
      <c r="J44" s="6">
        <f t="shared" si="1"/>
        <v>1475397.6270421515</v>
      </c>
      <c r="K44" s="8">
        <f t="shared" si="2"/>
        <v>-739</v>
      </c>
      <c r="L44" s="10">
        <f t="shared" si="3"/>
        <v>29685000256.088089</v>
      </c>
      <c r="M44" s="4">
        <f t="shared" si="4"/>
        <v>-16812635.054922454</v>
      </c>
    </row>
    <row r="45" spans="1:13" x14ac:dyDescent="0.2">
      <c r="A45" s="1">
        <v>0</v>
      </c>
      <c r="B45">
        <v>1</v>
      </c>
      <c r="C45">
        <v>1</v>
      </c>
      <c r="D45">
        <v>1595000</v>
      </c>
      <c r="E45">
        <v>2015</v>
      </c>
      <c r="F45">
        <v>714</v>
      </c>
      <c r="G45">
        <v>2234</v>
      </c>
      <c r="H45">
        <v>10</v>
      </c>
      <c r="I45" s="4">
        <f t="shared" si="0"/>
        <v>22384</v>
      </c>
      <c r="J45" s="6">
        <f t="shared" si="1"/>
        <v>1875353.5846250295</v>
      </c>
      <c r="K45" s="8">
        <f t="shared" si="2"/>
        <v>-704</v>
      </c>
      <c r="L45" s="10">
        <f t="shared" si="3"/>
        <v>37788374730.194344</v>
      </c>
      <c r="M45" s="4">
        <f t="shared" si="4"/>
        <v>-25307119.912007157</v>
      </c>
    </row>
    <row r="46" spans="1:13" x14ac:dyDescent="0.2">
      <c r="A46" s="1">
        <v>0</v>
      </c>
      <c r="B46">
        <v>2</v>
      </c>
      <c r="C46">
        <v>2</v>
      </c>
      <c r="D46">
        <v>3995000</v>
      </c>
      <c r="E46">
        <v>1906</v>
      </c>
      <c r="F46">
        <v>2400</v>
      </c>
      <c r="G46">
        <v>1665</v>
      </c>
      <c r="H46">
        <v>10</v>
      </c>
      <c r="I46" s="4">
        <f t="shared" si="0"/>
        <v>20725</v>
      </c>
      <c r="J46" s="6">
        <f t="shared" si="1"/>
        <v>2562540.5529839015</v>
      </c>
      <c r="K46" s="8">
        <f t="shared" si="2"/>
        <v>-2390</v>
      </c>
      <c r="L46" s="10">
        <f t="shared" si="3"/>
        <v>48842022939.873161</v>
      </c>
      <c r="M46" s="4">
        <f t="shared" si="4"/>
        <v>-278137464.18271208</v>
      </c>
    </row>
    <row r="47" spans="1:13" x14ac:dyDescent="0.2">
      <c r="A47" s="1">
        <v>0</v>
      </c>
      <c r="B47">
        <v>2</v>
      </c>
      <c r="C47">
        <v>2</v>
      </c>
      <c r="D47">
        <v>4995000</v>
      </c>
      <c r="E47">
        <v>1900</v>
      </c>
      <c r="F47">
        <v>2024</v>
      </c>
      <c r="G47">
        <v>2468</v>
      </c>
      <c r="H47">
        <v>8</v>
      </c>
      <c r="I47" s="4">
        <f t="shared" si="0"/>
        <v>17668</v>
      </c>
      <c r="J47" s="6">
        <f t="shared" si="1"/>
        <v>2790559.4856662406</v>
      </c>
      <c r="K47" s="8">
        <f t="shared" si="2"/>
        <v>-2016</v>
      </c>
      <c r="L47" s="10">
        <f t="shared" si="3"/>
        <v>42416504182.126854</v>
      </c>
      <c r="M47" s="4">
        <f t="shared" si="4"/>
        <v>-254748746.62259063</v>
      </c>
    </row>
    <row r="48" spans="1:13" x14ac:dyDescent="0.2">
      <c r="A48" s="1">
        <v>0</v>
      </c>
      <c r="B48">
        <v>3</v>
      </c>
      <c r="C48">
        <v>2</v>
      </c>
      <c r="D48">
        <v>3580000</v>
      </c>
      <c r="E48">
        <v>1880</v>
      </c>
      <c r="F48">
        <v>3000</v>
      </c>
      <c r="G48">
        <v>1193</v>
      </c>
      <c r="H48">
        <v>10</v>
      </c>
      <c r="I48" s="4">
        <f t="shared" si="0"/>
        <v>19993</v>
      </c>
      <c r="J48" s="6">
        <f t="shared" si="1"/>
        <v>2052825.1476832684</v>
      </c>
      <c r="K48" s="8">
        <f t="shared" si="2"/>
        <v>-2990</v>
      </c>
      <c r="L48" s="10">
        <f t="shared" si="3"/>
        <v>38593112776.44545</v>
      </c>
      <c r="M48" s="4">
        <f t="shared" si="4"/>
        <v>-246385523.16861171</v>
      </c>
    </row>
    <row r="49" spans="1:13" x14ac:dyDescent="0.2">
      <c r="A49" s="1">
        <v>0</v>
      </c>
      <c r="B49">
        <v>3</v>
      </c>
      <c r="C49">
        <v>3</v>
      </c>
      <c r="D49">
        <v>6350000</v>
      </c>
      <c r="E49">
        <v>2015</v>
      </c>
      <c r="F49">
        <v>2500</v>
      </c>
      <c r="G49">
        <v>2540</v>
      </c>
      <c r="H49">
        <v>3</v>
      </c>
      <c r="I49" s="4">
        <f t="shared" si="0"/>
        <v>8585</v>
      </c>
      <c r="J49" s="6">
        <f t="shared" si="1"/>
        <v>1196949.5999999999</v>
      </c>
      <c r="K49" s="8">
        <f t="shared" si="2"/>
        <v>-2497</v>
      </c>
      <c r="L49" s="10">
        <f t="shared" si="3"/>
        <v>7235560331.9999981</v>
      </c>
      <c r="M49" s="4">
        <f t="shared" si="4"/>
        <v>-68425125.042837992</v>
      </c>
    </row>
    <row r="50" spans="1:13" x14ac:dyDescent="0.2">
      <c r="A50" s="1">
        <v>0</v>
      </c>
      <c r="B50">
        <v>3</v>
      </c>
      <c r="C50">
        <v>3</v>
      </c>
      <c r="D50">
        <v>6550000</v>
      </c>
      <c r="E50">
        <v>2015</v>
      </c>
      <c r="F50">
        <v>2500</v>
      </c>
      <c r="G50">
        <v>2620</v>
      </c>
      <c r="H50">
        <v>3</v>
      </c>
      <c r="I50" s="4">
        <f t="shared" si="0"/>
        <v>8665</v>
      </c>
      <c r="J50" s="6">
        <f t="shared" si="1"/>
        <v>1234648.8</v>
      </c>
      <c r="K50" s="8">
        <f t="shared" si="2"/>
        <v>-2497</v>
      </c>
      <c r="L50" s="10">
        <f t="shared" si="3"/>
        <v>7463451996</v>
      </c>
      <c r="M50" s="4">
        <f t="shared" si="4"/>
        <v>-72803246.99982287</v>
      </c>
    </row>
    <row r="51" spans="1:13" x14ac:dyDescent="0.2">
      <c r="A51" s="1">
        <v>0</v>
      </c>
      <c r="B51">
        <v>3</v>
      </c>
      <c r="C51">
        <v>3</v>
      </c>
      <c r="D51">
        <v>5985000</v>
      </c>
      <c r="E51">
        <v>1909</v>
      </c>
      <c r="F51">
        <v>3300</v>
      </c>
      <c r="G51">
        <v>1814</v>
      </c>
      <c r="H51">
        <v>3</v>
      </c>
      <c r="I51" s="4">
        <f t="shared" si="0"/>
        <v>7541</v>
      </c>
      <c r="J51" s="6">
        <f t="shared" si="1"/>
        <v>982124.16212400189</v>
      </c>
      <c r="K51" s="8">
        <f t="shared" si="2"/>
        <v>-3297</v>
      </c>
      <c r="L51" s="10">
        <f t="shared" si="3"/>
        <v>5624625076.4841585</v>
      </c>
      <c r="M51" s="4">
        <f t="shared" si="4"/>
        <v>-66195404.994368672</v>
      </c>
    </row>
    <row r="52" spans="1:13" x14ac:dyDescent="0.2">
      <c r="A52" s="1">
        <v>0</v>
      </c>
      <c r="B52">
        <v>3</v>
      </c>
      <c r="C52">
        <v>3</v>
      </c>
      <c r="D52">
        <v>9900000</v>
      </c>
      <c r="E52">
        <v>2015</v>
      </c>
      <c r="F52">
        <v>2950</v>
      </c>
      <c r="G52">
        <v>3356</v>
      </c>
      <c r="H52">
        <v>4</v>
      </c>
      <c r="I52" s="4">
        <f t="shared" si="0"/>
        <v>11416</v>
      </c>
      <c r="J52" s="6">
        <f t="shared" si="1"/>
        <v>2290571.4311502967</v>
      </c>
      <c r="K52" s="8">
        <f t="shared" si="2"/>
        <v>-2946</v>
      </c>
      <c r="L52" s="10">
        <f t="shared" si="3"/>
        <v>18462005735.071392</v>
      </c>
      <c r="M52" s="4">
        <f t="shared" si="4"/>
        <v>-321142646.18616033</v>
      </c>
    </row>
    <row r="53" spans="1:13" x14ac:dyDescent="0.2">
      <c r="A53" s="1">
        <v>0</v>
      </c>
      <c r="B53">
        <v>1</v>
      </c>
      <c r="C53">
        <v>1</v>
      </c>
      <c r="D53">
        <v>1849000</v>
      </c>
      <c r="E53">
        <v>1920</v>
      </c>
      <c r="F53">
        <v>1400</v>
      </c>
      <c r="G53">
        <v>1321</v>
      </c>
      <c r="H53">
        <v>5</v>
      </c>
      <c r="I53" s="4">
        <f t="shared" si="0"/>
        <v>10921</v>
      </c>
      <c r="J53" s="6">
        <f t="shared" si="1"/>
        <v>776403.93539738946</v>
      </c>
      <c r="K53" s="8">
        <f t="shared" si="2"/>
        <v>-1395</v>
      </c>
      <c r="L53" s="10">
        <f t="shared" si="3"/>
        <v>7453477779.8149385</v>
      </c>
      <c r="M53" s="4">
        <f t="shared" si="4"/>
        <v>-11466245.677906388</v>
      </c>
    </row>
    <row r="54" spans="1:13" x14ac:dyDescent="0.2">
      <c r="A54" s="1">
        <v>0</v>
      </c>
      <c r="B54">
        <v>2</v>
      </c>
      <c r="C54">
        <v>2</v>
      </c>
      <c r="D54">
        <v>3500000</v>
      </c>
      <c r="E54">
        <v>1915</v>
      </c>
      <c r="F54">
        <v>2000</v>
      </c>
      <c r="G54">
        <v>1750</v>
      </c>
      <c r="H54">
        <v>5</v>
      </c>
      <c r="I54" s="4">
        <f t="shared" si="0"/>
        <v>11325</v>
      </c>
      <c r="J54" s="6">
        <f t="shared" si="1"/>
        <v>1229345.4526698345</v>
      </c>
      <c r="K54" s="8">
        <f t="shared" si="2"/>
        <v>-1995</v>
      </c>
      <c r="L54" s="10">
        <f t="shared" si="3"/>
        <v>11770982709.313663</v>
      </c>
      <c r="M54" s="4">
        <f t="shared" si="4"/>
        <v>-49020171.811362974</v>
      </c>
    </row>
    <row r="55" spans="1:13" x14ac:dyDescent="0.2">
      <c r="A55" s="1">
        <v>0</v>
      </c>
      <c r="B55">
        <v>2</v>
      </c>
      <c r="C55">
        <v>2</v>
      </c>
      <c r="D55">
        <v>3500000</v>
      </c>
      <c r="E55">
        <v>1910</v>
      </c>
      <c r="F55">
        <v>1887</v>
      </c>
      <c r="G55">
        <v>1855</v>
      </c>
      <c r="H55">
        <v>5</v>
      </c>
      <c r="I55" s="4">
        <f t="shared" si="0"/>
        <v>11405</v>
      </c>
      <c r="J55" s="6">
        <f t="shared" si="1"/>
        <v>1265758.2205785657</v>
      </c>
      <c r="K55" s="8">
        <f t="shared" si="2"/>
        <v>-1882</v>
      </c>
      <c r="L55" s="10">
        <f t="shared" si="3"/>
        <v>12087991006.525303</v>
      </c>
      <c r="M55" s="4">
        <f t="shared" si="4"/>
        <v>-47488992.35557317</v>
      </c>
    </row>
    <row r="56" spans="1:13" x14ac:dyDescent="0.2">
      <c r="A56" s="1">
        <v>0</v>
      </c>
      <c r="B56">
        <v>1</v>
      </c>
      <c r="C56">
        <v>1</v>
      </c>
      <c r="D56">
        <v>1250000</v>
      </c>
      <c r="E56">
        <v>2007</v>
      </c>
      <c r="F56">
        <v>720</v>
      </c>
      <c r="G56">
        <v>1736</v>
      </c>
      <c r="H56">
        <v>6</v>
      </c>
      <c r="I56" s="4">
        <f t="shared" si="0"/>
        <v>13778</v>
      </c>
      <c r="J56" s="6">
        <f t="shared" si="1"/>
        <v>878047.69611490262</v>
      </c>
      <c r="K56" s="8">
        <f t="shared" si="2"/>
        <v>-714</v>
      </c>
      <c r="L56" s="10">
        <f t="shared" si="3"/>
        <v>10573450356.615658</v>
      </c>
      <c r="M56" s="4">
        <f t="shared" si="4"/>
        <v>-5628285.4870124338</v>
      </c>
    </row>
    <row r="57" spans="1:13" x14ac:dyDescent="0.2">
      <c r="A57" s="1">
        <v>0</v>
      </c>
      <c r="B57">
        <v>2</v>
      </c>
      <c r="C57">
        <v>1</v>
      </c>
      <c r="D57">
        <v>899000</v>
      </c>
      <c r="E57">
        <v>1990</v>
      </c>
      <c r="F57">
        <v>820</v>
      </c>
      <c r="G57">
        <v>1096</v>
      </c>
      <c r="H57">
        <v>7</v>
      </c>
      <c r="I57" s="4">
        <f t="shared" si="0"/>
        <v>15026</v>
      </c>
      <c r="J57" s="6">
        <f t="shared" si="1"/>
        <v>690186.41791425669</v>
      </c>
      <c r="K57" s="8">
        <f t="shared" si="2"/>
        <v>-813</v>
      </c>
      <c r="L57" s="10">
        <f t="shared" si="3"/>
        <v>9614296801.5455971</v>
      </c>
      <c r="M57" s="4">
        <f t="shared" si="4"/>
        <v>-4191012.2024803241</v>
      </c>
    </row>
    <row r="58" spans="1:13" x14ac:dyDescent="0.2">
      <c r="A58" s="1">
        <v>0</v>
      </c>
      <c r="B58">
        <v>1</v>
      </c>
      <c r="C58">
        <v>2</v>
      </c>
      <c r="D58">
        <v>1950000</v>
      </c>
      <c r="E58">
        <v>1900</v>
      </c>
      <c r="F58">
        <v>1300</v>
      </c>
      <c r="G58">
        <v>1500</v>
      </c>
      <c r="H58">
        <v>7</v>
      </c>
      <c r="I58" s="4">
        <f t="shared" si="0"/>
        <v>14800</v>
      </c>
      <c r="J58" s="6">
        <f t="shared" si="1"/>
        <v>1189355.9881347551</v>
      </c>
      <c r="K58" s="8">
        <f t="shared" si="2"/>
        <v>-1293</v>
      </c>
      <c r="L58" s="10">
        <f t="shared" si="3"/>
        <v>15818434642.192242</v>
      </c>
      <c r="M58" s="4">
        <f t="shared" si="4"/>
        <v>-23787445.356184404</v>
      </c>
    </row>
    <row r="59" spans="1:13" x14ac:dyDescent="0.2">
      <c r="A59" s="1">
        <v>0</v>
      </c>
      <c r="B59">
        <v>1</v>
      </c>
      <c r="C59">
        <v>1</v>
      </c>
      <c r="D59">
        <v>1750000</v>
      </c>
      <c r="E59">
        <v>1963</v>
      </c>
      <c r="F59">
        <v>1000</v>
      </c>
      <c r="G59">
        <v>1750</v>
      </c>
      <c r="H59">
        <v>5</v>
      </c>
      <c r="I59" s="4">
        <f t="shared" si="0"/>
        <v>11565</v>
      </c>
      <c r="J59" s="6">
        <f t="shared" si="1"/>
        <v>869278.50600368576</v>
      </c>
      <c r="K59" s="8">
        <f t="shared" si="2"/>
        <v>-995</v>
      </c>
      <c r="L59" s="10">
        <f t="shared" si="3"/>
        <v>8531968536.4261761</v>
      </c>
      <c r="M59" s="4">
        <f t="shared" si="4"/>
        <v>-8860567.4839581773</v>
      </c>
    </row>
    <row r="60" spans="1:13" x14ac:dyDescent="0.2">
      <c r="A60" s="1">
        <v>0</v>
      </c>
      <c r="B60">
        <v>0</v>
      </c>
      <c r="C60">
        <v>1</v>
      </c>
      <c r="D60">
        <v>775000</v>
      </c>
      <c r="E60">
        <v>2009</v>
      </c>
      <c r="F60">
        <v>546</v>
      </c>
      <c r="G60">
        <v>1419</v>
      </c>
      <c r="H60">
        <v>6</v>
      </c>
      <c r="I60" s="4">
        <f t="shared" si="0"/>
        <v>13473</v>
      </c>
      <c r="J60" s="6">
        <f t="shared" si="1"/>
        <v>625001.20614096033</v>
      </c>
      <c r="K60" s="8">
        <f t="shared" si="2"/>
        <v>-540</v>
      </c>
      <c r="L60" s="10">
        <f t="shared" si="3"/>
        <v>7533764538.8231363</v>
      </c>
      <c r="M60" s="4">
        <f t="shared" si="4"/>
        <v>-1880436.4802867454</v>
      </c>
    </row>
    <row r="61" spans="1:13" x14ac:dyDescent="0.2">
      <c r="A61" s="1">
        <v>0</v>
      </c>
      <c r="B61">
        <v>0</v>
      </c>
      <c r="C61">
        <v>1</v>
      </c>
      <c r="D61">
        <v>390000</v>
      </c>
      <c r="E61">
        <v>1955</v>
      </c>
      <c r="F61">
        <v>550</v>
      </c>
      <c r="G61">
        <v>709</v>
      </c>
      <c r="H61">
        <v>6</v>
      </c>
      <c r="I61" s="4">
        <f t="shared" si="0"/>
        <v>12439</v>
      </c>
      <c r="J61" s="6">
        <f t="shared" si="1"/>
        <v>313422.17391307361</v>
      </c>
      <c r="K61" s="8">
        <f t="shared" si="2"/>
        <v>-544</v>
      </c>
      <c r="L61" s="10">
        <f t="shared" si="3"/>
        <v>3676442100.0003533</v>
      </c>
      <c r="M61" s="4">
        <f t="shared" si="4"/>
        <v>-465202.88605522964</v>
      </c>
    </row>
    <row r="62" spans="1:13" x14ac:dyDescent="0.2">
      <c r="A62" s="1">
        <v>0</v>
      </c>
      <c r="B62">
        <v>0</v>
      </c>
      <c r="C62">
        <v>1</v>
      </c>
      <c r="D62">
        <v>699999</v>
      </c>
      <c r="E62">
        <v>1988</v>
      </c>
      <c r="F62">
        <v>500</v>
      </c>
      <c r="G62">
        <v>1400</v>
      </c>
      <c r="H62">
        <v>9</v>
      </c>
      <c r="I62" s="4">
        <f t="shared" si="0"/>
        <v>19292</v>
      </c>
      <c r="J62" s="6">
        <f t="shared" si="1"/>
        <v>885128.72592228069</v>
      </c>
      <c r="K62" s="8">
        <f t="shared" si="2"/>
        <v>-491</v>
      </c>
      <c r="L62" s="10">
        <f t="shared" si="3"/>
        <v>15836723164.201445</v>
      </c>
      <c r="M62" s="4">
        <f t="shared" si="4"/>
        <v>-3246350.440589292</v>
      </c>
    </row>
    <row r="63" spans="1:13" x14ac:dyDescent="0.2">
      <c r="A63" s="1">
        <v>0</v>
      </c>
      <c r="B63">
        <v>1</v>
      </c>
      <c r="C63">
        <v>1</v>
      </c>
      <c r="D63">
        <v>649000</v>
      </c>
      <c r="E63">
        <v>1965</v>
      </c>
      <c r="F63">
        <v>750</v>
      </c>
      <c r="G63">
        <v>865</v>
      </c>
      <c r="H63">
        <v>10</v>
      </c>
      <c r="I63" s="4">
        <f t="shared" si="0"/>
        <v>20515</v>
      </c>
      <c r="J63" s="6">
        <f t="shared" si="1"/>
        <v>744213.64322968444</v>
      </c>
      <c r="K63" s="8">
        <f t="shared" si="2"/>
        <v>-740</v>
      </c>
      <c r="L63" s="10">
        <f t="shared" si="3"/>
        <v>14623798089.463299</v>
      </c>
      <c r="M63" s="4">
        <f t="shared" si="4"/>
        <v>-4188782.0288380575</v>
      </c>
    </row>
    <row r="64" spans="1:13" x14ac:dyDescent="0.2">
      <c r="A64" s="1">
        <v>0</v>
      </c>
      <c r="B64">
        <v>2</v>
      </c>
      <c r="C64">
        <v>2</v>
      </c>
      <c r="D64">
        <v>1200000</v>
      </c>
      <c r="E64">
        <v>1964</v>
      </c>
      <c r="F64">
        <v>1200</v>
      </c>
      <c r="G64">
        <v>1000</v>
      </c>
      <c r="H64">
        <v>10</v>
      </c>
      <c r="I64" s="4">
        <f t="shared" si="0"/>
        <v>20640</v>
      </c>
      <c r="J64" s="6">
        <f t="shared" si="1"/>
        <v>1088282.1634116771</v>
      </c>
      <c r="K64" s="8">
        <f t="shared" si="2"/>
        <v>-1190</v>
      </c>
      <c r="L64" s="10">
        <f t="shared" si="3"/>
        <v>21373861689.405338</v>
      </c>
      <c r="M64" s="4">
        <f t="shared" si="4"/>
        <v>-18203812.982977275</v>
      </c>
    </row>
    <row r="65" spans="1:13" x14ac:dyDescent="0.2">
      <c r="A65" s="1">
        <v>0</v>
      </c>
      <c r="B65">
        <v>0</v>
      </c>
      <c r="C65">
        <v>1</v>
      </c>
      <c r="D65">
        <v>319000</v>
      </c>
      <c r="E65">
        <v>1941</v>
      </c>
      <c r="F65">
        <v>500</v>
      </c>
      <c r="G65">
        <v>638</v>
      </c>
      <c r="H65">
        <v>10</v>
      </c>
      <c r="I65" s="4">
        <f t="shared" si="0"/>
        <v>20048</v>
      </c>
      <c r="J65" s="6">
        <f t="shared" si="1"/>
        <v>448184.22788763104</v>
      </c>
      <c r="K65" s="8">
        <f t="shared" si="2"/>
        <v>-490</v>
      </c>
      <c r="L65" s="10">
        <f t="shared" si="3"/>
        <v>8699255863.2989178</v>
      </c>
      <c r="M65" s="4">
        <f t="shared" si="4"/>
        <v>-810998.46195115114</v>
      </c>
    </row>
    <row r="66" spans="1:13" x14ac:dyDescent="0.2">
      <c r="A66" s="1">
        <v>0</v>
      </c>
      <c r="B66">
        <v>0</v>
      </c>
      <c r="C66">
        <v>1</v>
      </c>
      <c r="D66">
        <v>699999</v>
      </c>
      <c r="E66">
        <v>1988</v>
      </c>
      <c r="F66">
        <v>500</v>
      </c>
      <c r="G66">
        <v>1400</v>
      </c>
      <c r="H66">
        <v>10</v>
      </c>
      <c r="I66" s="4">
        <f t="shared" si="0"/>
        <v>21280</v>
      </c>
      <c r="J66" s="6">
        <f t="shared" si="1"/>
        <v>983476.36213586747</v>
      </c>
      <c r="K66" s="8">
        <f t="shared" si="2"/>
        <v>-490</v>
      </c>
      <c r="L66" s="10">
        <f t="shared" si="3"/>
        <v>19551510079.261047</v>
      </c>
      <c r="M66" s="4">
        <f t="shared" si="4"/>
        <v>-3999677.4430835373</v>
      </c>
    </row>
    <row r="67" spans="1:13" x14ac:dyDescent="0.2">
      <c r="A67" s="1">
        <v>0</v>
      </c>
      <c r="B67">
        <v>0</v>
      </c>
      <c r="C67">
        <v>1</v>
      </c>
      <c r="D67">
        <v>775000</v>
      </c>
      <c r="E67">
        <v>2009</v>
      </c>
      <c r="F67">
        <v>546</v>
      </c>
      <c r="G67">
        <v>1419</v>
      </c>
      <c r="H67">
        <v>10</v>
      </c>
      <c r="I67" s="4">
        <f t="shared" ref="I67:I130" si="5">+(H67*E67)+G67</f>
        <v>21509</v>
      </c>
      <c r="J67" s="6">
        <f t="shared" ref="J67:J130" si="6">+(3.1416*G67*H67)*SQRT(F67)</f>
        <v>1041668.6769016007</v>
      </c>
      <c r="K67" s="8">
        <f t="shared" ref="K67:K130" si="7">+H67-F67</f>
        <v>-536</v>
      </c>
      <c r="L67" s="10">
        <f t="shared" ref="L67:L130" si="8">+J67*E67*H67</f>
        <v>20927123718.953156</v>
      </c>
      <c r="M67" s="4">
        <f t="shared" ref="M67:M130" si="9">(K67*L67/465743*D67)/3600000</f>
        <v>-5184742.5588153051</v>
      </c>
    </row>
    <row r="68" spans="1:13" x14ac:dyDescent="0.2">
      <c r="A68" s="1">
        <v>0</v>
      </c>
      <c r="B68">
        <v>1</v>
      </c>
      <c r="C68">
        <v>1</v>
      </c>
      <c r="D68">
        <v>649000</v>
      </c>
      <c r="E68">
        <v>1965</v>
      </c>
      <c r="F68">
        <v>750</v>
      </c>
      <c r="G68">
        <v>865</v>
      </c>
      <c r="H68">
        <v>10</v>
      </c>
      <c r="I68" s="4">
        <f t="shared" si="5"/>
        <v>20515</v>
      </c>
      <c r="J68" s="6">
        <f t="shared" si="6"/>
        <v>744213.64322968444</v>
      </c>
      <c r="K68" s="8">
        <f t="shared" si="7"/>
        <v>-740</v>
      </c>
      <c r="L68" s="10">
        <f t="shared" si="8"/>
        <v>14623798089.463299</v>
      </c>
      <c r="M68" s="4">
        <f t="shared" si="9"/>
        <v>-4188782.0288380575</v>
      </c>
    </row>
    <row r="69" spans="1:13" x14ac:dyDescent="0.2">
      <c r="A69" s="1">
        <v>0</v>
      </c>
      <c r="B69">
        <v>2</v>
      </c>
      <c r="C69">
        <v>2</v>
      </c>
      <c r="D69">
        <v>1849000</v>
      </c>
      <c r="E69">
        <v>2009</v>
      </c>
      <c r="F69">
        <v>1135</v>
      </c>
      <c r="G69">
        <v>1629</v>
      </c>
      <c r="H69">
        <v>10</v>
      </c>
      <c r="I69" s="4">
        <f t="shared" si="5"/>
        <v>21719</v>
      </c>
      <c r="J69" s="6">
        <f t="shared" si="6"/>
        <v>1724129.5817953178</v>
      </c>
      <c r="K69" s="8">
        <f t="shared" si="7"/>
        <v>-1125</v>
      </c>
      <c r="L69" s="10">
        <f t="shared" si="8"/>
        <v>34637763298.267937</v>
      </c>
      <c r="M69" s="4">
        <f t="shared" si="9"/>
        <v>-42972481.831783712</v>
      </c>
    </row>
    <row r="70" spans="1:13" x14ac:dyDescent="0.2">
      <c r="A70" s="1">
        <v>0</v>
      </c>
      <c r="B70">
        <v>1</v>
      </c>
      <c r="C70">
        <v>1</v>
      </c>
      <c r="D70">
        <v>615000</v>
      </c>
      <c r="E70">
        <v>1960</v>
      </c>
      <c r="F70">
        <v>750</v>
      </c>
      <c r="G70">
        <v>820</v>
      </c>
      <c r="H70">
        <v>11</v>
      </c>
      <c r="I70" s="4">
        <f t="shared" si="5"/>
        <v>22380</v>
      </c>
      <c r="J70" s="6">
        <f t="shared" si="6"/>
        <v>776047.0591828617</v>
      </c>
      <c r="K70" s="8">
        <f t="shared" si="7"/>
        <v>-739</v>
      </c>
      <c r="L70" s="10">
        <f t="shared" si="8"/>
        <v>16731574595.9825</v>
      </c>
      <c r="M70" s="4">
        <f t="shared" si="9"/>
        <v>-4535315.7811252996</v>
      </c>
    </row>
    <row r="71" spans="1:13" x14ac:dyDescent="0.2">
      <c r="A71" s="1">
        <v>0</v>
      </c>
      <c r="B71">
        <v>1</v>
      </c>
      <c r="C71">
        <v>1</v>
      </c>
      <c r="D71">
        <v>1590000</v>
      </c>
      <c r="E71">
        <v>2008</v>
      </c>
      <c r="F71">
        <v>785</v>
      </c>
      <c r="G71">
        <v>2025</v>
      </c>
      <c r="H71">
        <v>12</v>
      </c>
      <c r="I71" s="4">
        <f t="shared" si="5"/>
        <v>26121</v>
      </c>
      <c r="J71" s="6">
        <f t="shared" si="6"/>
        <v>2138907.43557357</v>
      </c>
      <c r="K71" s="8">
        <f t="shared" si="7"/>
        <v>-773</v>
      </c>
      <c r="L71" s="10">
        <f t="shared" si="8"/>
        <v>51539113567.580742</v>
      </c>
      <c r="M71" s="4">
        <f t="shared" si="9"/>
        <v>-37780241.17288962</v>
      </c>
    </row>
    <row r="72" spans="1:13" x14ac:dyDescent="0.2">
      <c r="A72" s="1">
        <v>0</v>
      </c>
      <c r="B72">
        <v>1</v>
      </c>
      <c r="C72">
        <v>1</v>
      </c>
      <c r="D72">
        <v>1150000</v>
      </c>
      <c r="E72">
        <v>2014</v>
      </c>
      <c r="F72">
        <v>645</v>
      </c>
      <c r="G72">
        <v>1783</v>
      </c>
      <c r="H72">
        <v>18</v>
      </c>
      <c r="I72" s="4">
        <f t="shared" si="5"/>
        <v>38035</v>
      </c>
      <c r="J72" s="6">
        <f t="shared" si="6"/>
        <v>2560675.7806562791</v>
      </c>
      <c r="K72" s="8">
        <f t="shared" si="7"/>
        <v>-627</v>
      </c>
      <c r="L72" s="10">
        <f t="shared" si="8"/>
        <v>92829618400.351425</v>
      </c>
      <c r="M72" s="4">
        <f t="shared" si="9"/>
        <v>-39921156.056960709</v>
      </c>
    </row>
    <row r="73" spans="1:13" x14ac:dyDescent="0.2">
      <c r="A73" s="1">
        <v>0</v>
      </c>
      <c r="B73">
        <v>2</v>
      </c>
      <c r="C73">
        <v>2</v>
      </c>
      <c r="D73">
        <v>2650000</v>
      </c>
      <c r="E73">
        <v>2014</v>
      </c>
      <c r="F73">
        <v>1240</v>
      </c>
      <c r="G73">
        <v>2137</v>
      </c>
      <c r="H73">
        <v>18</v>
      </c>
      <c r="I73" s="4">
        <f t="shared" si="5"/>
        <v>38389</v>
      </c>
      <c r="J73" s="6">
        <f t="shared" si="6"/>
        <v>4255384.017491295</v>
      </c>
      <c r="K73" s="8">
        <f t="shared" si="7"/>
        <v>-1222</v>
      </c>
      <c r="L73" s="10">
        <f t="shared" si="8"/>
        <v>154266181402.09442</v>
      </c>
      <c r="M73" s="4">
        <f t="shared" si="9"/>
        <v>-297946969.3433708</v>
      </c>
    </row>
    <row r="74" spans="1:13" x14ac:dyDescent="0.2">
      <c r="A74" s="1">
        <v>0</v>
      </c>
      <c r="B74">
        <v>0</v>
      </c>
      <c r="C74">
        <v>1</v>
      </c>
      <c r="D74">
        <v>469000</v>
      </c>
      <c r="E74">
        <v>1932</v>
      </c>
      <c r="F74">
        <v>500</v>
      </c>
      <c r="G74">
        <v>938</v>
      </c>
      <c r="H74">
        <v>18</v>
      </c>
      <c r="I74" s="4">
        <f t="shared" si="5"/>
        <v>35714</v>
      </c>
      <c r="J74" s="6">
        <f t="shared" si="6"/>
        <v>1186072.4927358562</v>
      </c>
      <c r="K74" s="8">
        <f t="shared" si="7"/>
        <v>-482</v>
      </c>
      <c r="L74" s="10">
        <f t="shared" si="8"/>
        <v>41246857007.382141</v>
      </c>
      <c r="M74" s="4">
        <f t="shared" si="9"/>
        <v>-5561115.3703597095</v>
      </c>
    </row>
    <row r="75" spans="1:13" x14ac:dyDescent="0.2">
      <c r="A75" s="1">
        <v>0</v>
      </c>
      <c r="B75">
        <v>0</v>
      </c>
      <c r="C75">
        <v>1</v>
      </c>
      <c r="D75">
        <v>569000</v>
      </c>
      <c r="E75">
        <v>1962</v>
      </c>
      <c r="F75">
        <v>543</v>
      </c>
      <c r="G75">
        <v>1048</v>
      </c>
      <c r="H75">
        <v>8</v>
      </c>
      <c r="I75" s="4">
        <f t="shared" si="5"/>
        <v>16744</v>
      </c>
      <c r="J75" s="6">
        <f t="shared" si="6"/>
        <v>613764.93438772892</v>
      </c>
      <c r="K75" s="8">
        <f t="shared" si="7"/>
        <v>-535</v>
      </c>
      <c r="L75" s="10">
        <f t="shared" si="8"/>
        <v>9633654410.1497936</v>
      </c>
      <c r="M75" s="4">
        <f t="shared" si="9"/>
        <v>-1749074.3627003576</v>
      </c>
    </row>
    <row r="76" spans="1:13" x14ac:dyDescent="0.2">
      <c r="A76" s="1">
        <v>0</v>
      </c>
      <c r="B76">
        <v>1</v>
      </c>
      <c r="C76">
        <v>1</v>
      </c>
      <c r="D76">
        <v>549000</v>
      </c>
      <c r="E76">
        <v>1924</v>
      </c>
      <c r="F76">
        <v>750</v>
      </c>
      <c r="G76">
        <v>732</v>
      </c>
      <c r="H76">
        <v>10</v>
      </c>
      <c r="I76" s="4">
        <f t="shared" si="5"/>
        <v>19972</v>
      </c>
      <c r="J76" s="6">
        <f t="shared" si="6"/>
        <v>629785.41831691214</v>
      </c>
      <c r="K76" s="8">
        <f t="shared" si="7"/>
        <v>-740</v>
      </c>
      <c r="L76" s="10">
        <f t="shared" si="8"/>
        <v>12117071448.417389</v>
      </c>
      <c r="M76" s="4">
        <f t="shared" si="9"/>
        <v>-2935978.6683941619</v>
      </c>
    </row>
    <row r="77" spans="1:13" x14ac:dyDescent="0.2">
      <c r="A77" s="1">
        <v>0</v>
      </c>
      <c r="B77">
        <v>2</v>
      </c>
      <c r="C77">
        <v>2</v>
      </c>
      <c r="D77">
        <v>799000</v>
      </c>
      <c r="E77">
        <v>1928</v>
      </c>
      <c r="F77">
        <v>850</v>
      </c>
      <c r="G77">
        <v>940</v>
      </c>
      <c r="H77">
        <v>19</v>
      </c>
      <c r="I77" s="4">
        <f t="shared" si="5"/>
        <v>37572</v>
      </c>
      <c r="J77" s="6">
        <f t="shared" si="6"/>
        <v>1635843.6996251473</v>
      </c>
      <c r="K77" s="8">
        <f t="shared" si="7"/>
        <v>-831</v>
      </c>
      <c r="L77" s="10">
        <f t="shared" si="8"/>
        <v>59924226404.668396</v>
      </c>
      <c r="M77" s="4">
        <f t="shared" si="9"/>
        <v>-23730200.204405334</v>
      </c>
    </row>
    <row r="78" spans="1:13" x14ac:dyDescent="0.2">
      <c r="A78" s="1">
        <v>0</v>
      </c>
      <c r="B78">
        <v>2</v>
      </c>
      <c r="C78">
        <v>2</v>
      </c>
      <c r="D78">
        <v>879000</v>
      </c>
      <c r="E78">
        <v>1928</v>
      </c>
      <c r="F78">
        <v>800</v>
      </c>
      <c r="G78">
        <v>1099</v>
      </c>
      <c r="H78">
        <v>22</v>
      </c>
      <c r="I78" s="4">
        <f t="shared" si="5"/>
        <v>43515</v>
      </c>
      <c r="J78" s="6">
        <f t="shared" si="6"/>
        <v>2148405.4974707142</v>
      </c>
      <c r="K78" s="8">
        <f t="shared" si="7"/>
        <v>-778</v>
      </c>
      <c r="L78" s="10">
        <f t="shared" si="8"/>
        <v>91126767580.717819</v>
      </c>
      <c r="M78" s="4">
        <f t="shared" si="9"/>
        <v>-37167692.584921569</v>
      </c>
    </row>
    <row r="79" spans="1:13" x14ac:dyDescent="0.2">
      <c r="A79" s="1">
        <v>0</v>
      </c>
      <c r="B79">
        <v>2</v>
      </c>
      <c r="C79">
        <v>3</v>
      </c>
      <c r="D79">
        <v>2999000</v>
      </c>
      <c r="E79">
        <v>1925</v>
      </c>
      <c r="F79">
        <v>3200</v>
      </c>
      <c r="G79">
        <v>937</v>
      </c>
      <c r="H79">
        <v>10</v>
      </c>
      <c r="I79" s="4">
        <f t="shared" si="5"/>
        <v>20187</v>
      </c>
      <c r="J79" s="6">
        <f t="shared" si="6"/>
        <v>1665196.4191662332</v>
      </c>
      <c r="K79" s="8">
        <f t="shared" si="7"/>
        <v>-3190</v>
      </c>
      <c r="L79" s="10">
        <f t="shared" si="8"/>
        <v>32055031068.949989</v>
      </c>
      <c r="M79" s="4">
        <f t="shared" si="9"/>
        <v>-182900340.47195166</v>
      </c>
    </row>
    <row r="80" spans="1:13" x14ac:dyDescent="0.2">
      <c r="A80" s="1">
        <v>0</v>
      </c>
      <c r="B80">
        <v>2</v>
      </c>
      <c r="C80">
        <v>3</v>
      </c>
      <c r="D80">
        <v>2999000</v>
      </c>
      <c r="E80">
        <v>1925</v>
      </c>
      <c r="F80">
        <v>3200</v>
      </c>
      <c r="G80">
        <v>937</v>
      </c>
      <c r="H80">
        <v>10</v>
      </c>
      <c r="I80" s="4">
        <f t="shared" si="5"/>
        <v>20187</v>
      </c>
      <c r="J80" s="6">
        <f t="shared" si="6"/>
        <v>1665196.4191662332</v>
      </c>
      <c r="K80" s="8">
        <f t="shared" si="7"/>
        <v>-3190</v>
      </c>
      <c r="L80" s="10">
        <f t="shared" si="8"/>
        <v>32055031068.949989</v>
      </c>
      <c r="M80" s="4">
        <f t="shared" si="9"/>
        <v>-182900340.47195166</v>
      </c>
    </row>
    <row r="81" spans="1:13" x14ac:dyDescent="0.2">
      <c r="A81" s="1">
        <v>0</v>
      </c>
      <c r="B81">
        <v>2</v>
      </c>
      <c r="C81">
        <v>3</v>
      </c>
      <c r="D81">
        <v>2999000</v>
      </c>
      <c r="E81">
        <v>1925</v>
      </c>
      <c r="F81">
        <v>3200</v>
      </c>
      <c r="G81">
        <v>937</v>
      </c>
      <c r="H81">
        <v>12</v>
      </c>
      <c r="I81" s="4">
        <f t="shared" si="5"/>
        <v>24037</v>
      </c>
      <c r="J81" s="6">
        <f t="shared" si="6"/>
        <v>1998235.7029994796</v>
      </c>
      <c r="K81" s="8">
        <f t="shared" si="7"/>
        <v>-3188</v>
      </c>
      <c r="L81" s="10">
        <f t="shared" si="8"/>
        <v>46159244739.287979</v>
      </c>
      <c r="M81" s="4">
        <f t="shared" si="9"/>
        <v>-263211363.95341623</v>
      </c>
    </row>
    <row r="82" spans="1:13" x14ac:dyDescent="0.2">
      <c r="A82" s="1">
        <v>0</v>
      </c>
      <c r="B82">
        <v>2</v>
      </c>
      <c r="C82">
        <v>3</v>
      </c>
      <c r="D82">
        <v>2999000</v>
      </c>
      <c r="E82">
        <v>1925</v>
      </c>
      <c r="F82">
        <v>3200</v>
      </c>
      <c r="G82">
        <v>937</v>
      </c>
      <c r="H82">
        <v>12</v>
      </c>
      <c r="I82" s="4">
        <f t="shared" si="5"/>
        <v>24037</v>
      </c>
      <c r="J82" s="6">
        <f t="shared" si="6"/>
        <v>1998235.7029994796</v>
      </c>
      <c r="K82" s="8">
        <f t="shared" si="7"/>
        <v>-3188</v>
      </c>
      <c r="L82" s="10">
        <f t="shared" si="8"/>
        <v>46159244739.287979</v>
      </c>
      <c r="M82" s="4">
        <f t="shared" si="9"/>
        <v>-263211363.95341623</v>
      </c>
    </row>
    <row r="83" spans="1:13" x14ac:dyDescent="0.2">
      <c r="A83" s="1">
        <v>0</v>
      </c>
      <c r="B83">
        <v>1</v>
      </c>
      <c r="C83">
        <v>1</v>
      </c>
      <c r="D83">
        <v>399000</v>
      </c>
      <c r="E83">
        <v>1910</v>
      </c>
      <c r="F83">
        <v>475</v>
      </c>
      <c r="G83">
        <v>840</v>
      </c>
      <c r="H83">
        <v>10</v>
      </c>
      <c r="I83" s="4">
        <f t="shared" si="5"/>
        <v>19940</v>
      </c>
      <c r="J83" s="6">
        <f t="shared" si="6"/>
        <v>575144.51068314991</v>
      </c>
      <c r="K83" s="8">
        <f t="shared" si="7"/>
        <v>-465</v>
      </c>
      <c r="L83" s="10">
        <f t="shared" si="8"/>
        <v>10985260154.048164</v>
      </c>
      <c r="M83" s="4">
        <f t="shared" si="9"/>
        <v>-1215590.6695092728</v>
      </c>
    </row>
    <row r="84" spans="1:13" x14ac:dyDescent="0.2">
      <c r="A84" s="1">
        <v>0</v>
      </c>
      <c r="B84">
        <v>1</v>
      </c>
      <c r="C84">
        <v>1</v>
      </c>
      <c r="D84">
        <v>1135000</v>
      </c>
      <c r="E84">
        <v>2005</v>
      </c>
      <c r="F84">
        <v>715</v>
      </c>
      <c r="G84">
        <v>1587</v>
      </c>
      <c r="H84">
        <v>10</v>
      </c>
      <c r="I84" s="4">
        <f t="shared" si="5"/>
        <v>21637</v>
      </c>
      <c r="J84" s="6">
        <f t="shared" si="6"/>
        <v>1333155.5834932686</v>
      </c>
      <c r="K84" s="8">
        <f t="shared" si="7"/>
        <v>-705</v>
      </c>
      <c r="L84" s="10">
        <f t="shared" si="8"/>
        <v>26729769449.040035</v>
      </c>
      <c r="M84" s="4">
        <f t="shared" si="9"/>
        <v>-12756494.74118989</v>
      </c>
    </row>
    <row r="85" spans="1:13" x14ac:dyDescent="0.2">
      <c r="A85" s="1">
        <v>0</v>
      </c>
      <c r="B85">
        <v>1</v>
      </c>
      <c r="C85">
        <v>1</v>
      </c>
      <c r="D85">
        <v>1145000</v>
      </c>
      <c r="E85">
        <v>2005</v>
      </c>
      <c r="F85">
        <v>700</v>
      </c>
      <c r="G85">
        <v>1636</v>
      </c>
      <c r="H85">
        <v>10</v>
      </c>
      <c r="I85" s="4">
        <f t="shared" si="5"/>
        <v>21686</v>
      </c>
      <c r="J85" s="6">
        <f t="shared" si="6"/>
        <v>1359825.5833623086</v>
      </c>
      <c r="K85" s="8">
        <f t="shared" si="7"/>
        <v>-690</v>
      </c>
      <c r="L85" s="10">
        <f t="shared" si="8"/>
        <v>27264502946.414284</v>
      </c>
      <c r="M85" s="4">
        <f t="shared" si="9"/>
        <v>-12847047.353973832</v>
      </c>
    </row>
    <row r="86" spans="1:13" x14ac:dyDescent="0.2">
      <c r="A86" s="1">
        <v>0</v>
      </c>
      <c r="B86">
        <v>1</v>
      </c>
      <c r="C86">
        <v>1</v>
      </c>
      <c r="D86">
        <v>1760000</v>
      </c>
      <c r="E86">
        <v>1969</v>
      </c>
      <c r="F86">
        <v>950</v>
      </c>
      <c r="G86">
        <v>1853</v>
      </c>
      <c r="H86">
        <v>10</v>
      </c>
      <c r="I86" s="4">
        <f t="shared" si="5"/>
        <v>21543</v>
      </c>
      <c r="J86" s="6">
        <f t="shared" si="6"/>
        <v>1794271.2988895376</v>
      </c>
      <c r="K86" s="8">
        <f t="shared" si="7"/>
        <v>-940</v>
      </c>
      <c r="L86" s="10">
        <f t="shared" si="8"/>
        <v>35329201875.134995</v>
      </c>
      <c r="M86" s="4">
        <f t="shared" si="9"/>
        <v>-34859849.734858148</v>
      </c>
    </row>
    <row r="87" spans="1:13" x14ac:dyDescent="0.2">
      <c r="A87" s="1">
        <v>0</v>
      </c>
      <c r="B87">
        <v>2</v>
      </c>
      <c r="C87">
        <v>2</v>
      </c>
      <c r="D87">
        <v>1725000</v>
      </c>
      <c r="E87">
        <v>2005</v>
      </c>
      <c r="F87">
        <v>976</v>
      </c>
      <c r="G87">
        <v>1767</v>
      </c>
      <c r="H87">
        <v>10</v>
      </c>
      <c r="I87" s="4">
        <f t="shared" si="5"/>
        <v>21817</v>
      </c>
      <c r="J87" s="6">
        <f t="shared" si="6"/>
        <v>1734252.5693876273</v>
      </c>
      <c r="K87" s="8">
        <f t="shared" si="7"/>
        <v>-966</v>
      </c>
      <c r="L87" s="10">
        <f t="shared" si="8"/>
        <v>34771764016.221931</v>
      </c>
      <c r="M87" s="4">
        <f t="shared" si="9"/>
        <v>-34557642.882466778</v>
      </c>
    </row>
    <row r="88" spans="1:13" x14ac:dyDescent="0.2">
      <c r="A88" s="1">
        <v>0</v>
      </c>
      <c r="B88">
        <v>2</v>
      </c>
      <c r="C88">
        <v>2</v>
      </c>
      <c r="D88">
        <v>2750000</v>
      </c>
      <c r="E88">
        <v>2007</v>
      </c>
      <c r="F88">
        <v>1384</v>
      </c>
      <c r="G88">
        <v>1987</v>
      </c>
      <c r="H88">
        <v>10</v>
      </c>
      <c r="I88" s="4">
        <f t="shared" si="5"/>
        <v>22057</v>
      </c>
      <c r="J88" s="6">
        <f t="shared" si="6"/>
        <v>2322291.8628037539</v>
      </c>
      <c r="K88" s="8">
        <f t="shared" si="7"/>
        <v>-1374</v>
      </c>
      <c r="L88" s="10">
        <f t="shared" si="8"/>
        <v>46608397686.471336</v>
      </c>
      <c r="M88" s="4">
        <f t="shared" si="9"/>
        <v>-105035174.77469809</v>
      </c>
    </row>
    <row r="89" spans="1:13" x14ac:dyDescent="0.2">
      <c r="A89" s="1">
        <v>0</v>
      </c>
      <c r="B89">
        <v>2</v>
      </c>
      <c r="C89">
        <v>2</v>
      </c>
      <c r="D89">
        <v>2750000</v>
      </c>
      <c r="E89">
        <v>2007</v>
      </c>
      <c r="F89">
        <v>1384</v>
      </c>
      <c r="G89">
        <v>1987</v>
      </c>
      <c r="H89">
        <v>13</v>
      </c>
      <c r="I89" s="4">
        <f t="shared" si="5"/>
        <v>28078</v>
      </c>
      <c r="J89" s="6">
        <f t="shared" si="6"/>
        <v>3018979.42164488</v>
      </c>
      <c r="K89" s="8">
        <f t="shared" si="7"/>
        <v>-1371</v>
      </c>
      <c r="L89" s="10">
        <f t="shared" si="8"/>
        <v>78768192090.136566</v>
      </c>
      <c r="M89" s="4">
        <f t="shared" si="9"/>
        <v>-177121870.16101</v>
      </c>
    </row>
    <row r="90" spans="1:13" x14ac:dyDescent="0.2">
      <c r="A90" s="1">
        <v>0</v>
      </c>
      <c r="B90">
        <v>1</v>
      </c>
      <c r="C90">
        <v>1</v>
      </c>
      <c r="D90">
        <v>399000</v>
      </c>
      <c r="E90">
        <v>1910</v>
      </c>
      <c r="F90">
        <v>475</v>
      </c>
      <c r="G90">
        <v>840</v>
      </c>
      <c r="H90">
        <v>14</v>
      </c>
      <c r="I90" s="4">
        <f t="shared" si="5"/>
        <v>27580</v>
      </c>
      <c r="J90" s="6">
        <f t="shared" si="6"/>
        <v>805202.31495640997</v>
      </c>
      <c r="K90" s="8">
        <f t="shared" si="7"/>
        <v>-461</v>
      </c>
      <c r="L90" s="10">
        <f t="shared" si="8"/>
        <v>21531109901.934402</v>
      </c>
      <c r="M90" s="4">
        <f t="shared" si="9"/>
        <v>-2362062.5921328999</v>
      </c>
    </row>
    <row r="91" spans="1:13" x14ac:dyDescent="0.2">
      <c r="A91" s="1">
        <v>0</v>
      </c>
      <c r="B91">
        <v>2</v>
      </c>
      <c r="C91">
        <v>2</v>
      </c>
      <c r="D91">
        <v>1725000</v>
      </c>
      <c r="E91">
        <v>2005</v>
      </c>
      <c r="F91">
        <v>1144</v>
      </c>
      <c r="G91">
        <v>1508</v>
      </c>
      <c r="H91">
        <v>16</v>
      </c>
      <c r="I91" s="4">
        <f t="shared" si="5"/>
        <v>33588</v>
      </c>
      <c r="J91" s="6">
        <f t="shared" si="6"/>
        <v>2563806.3843802628</v>
      </c>
      <c r="K91" s="8">
        <f t="shared" si="7"/>
        <v>-1128</v>
      </c>
      <c r="L91" s="10">
        <f t="shared" si="8"/>
        <v>82246908810.918839</v>
      </c>
      <c r="M91" s="4">
        <f t="shared" si="9"/>
        <v>-95448464.522927091</v>
      </c>
    </row>
    <row r="92" spans="1:13" x14ac:dyDescent="0.2">
      <c r="A92" s="1">
        <v>0</v>
      </c>
      <c r="B92">
        <v>1</v>
      </c>
      <c r="C92">
        <v>1</v>
      </c>
      <c r="D92">
        <v>869000</v>
      </c>
      <c r="E92">
        <v>1988</v>
      </c>
      <c r="F92">
        <v>670</v>
      </c>
      <c r="G92">
        <v>1297</v>
      </c>
      <c r="H92">
        <v>16</v>
      </c>
      <c r="I92" s="4">
        <f t="shared" si="5"/>
        <v>33105</v>
      </c>
      <c r="J92" s="6">
        <f t="shared" si="6"/>
        <v>1687517.356535661</v>
      </c>
      <c r="K92" s="8">
        <f t="shared" si="7"/>
        <v>-654</v>
      </c>
      <c r="L92" s="10">
        <f t="shared" si="8"/>
        <v>53676552076.68631</v>
      </c>
      <c r="M92" s="4">
        <f t="shared" si="9"/>
        <v>-18194214.009499528</v>
      </c>
    </row>
    <row r="93" spans="1:13" x14ac:dyDescent="0.2">
      <c r="A93" s="1">
        <v>0</v>
      </c>
      <c r="B93">
        <v>1</v>
      </c>
      <c r="C93">
        <v>1</v>
      </c>
      <c r="D93">
        <v>1760000</v>
      </c>
      <c r="E93">
        <v>1969</v>
      </c>
      <c r="F93">
        <v>950</v>
      </c>
      <c r="G93">
        <v>1853</v>
      </c>
      <c r="H93">
        <v>17</v>
      </c>
      <c r="I93" s="4">
        <f t="shared" si="5"/>
        <v>35326</v>
      </c>
      <c r="J93" s="6">
        <f t="shared" si="6"/>
        <v>3050261.2081122142</v>
      </c>
      <c r="K93" s="8">
        <f t="shared" si="7"/>
        <v>-933</v>
      </c>
      <c r="L93" s="10">
        <f t="shared" si="8"/>
        <v>102101393419.14015</v>
      </c>
      <c r="M93" s="4">
        <f t="shared" si="9"/>
        <v>-99994737.265510082</v>
      </c>
    </row>
    <row r="94" spans="1:13" x14ac:dyDescent="0.2">
      <c r="A94" s="1">
        <v>0</v>
      </c>
      <c r="B94">
        <v>3</v>
      </c>
      <c r="C94">
        <v>3</v>
      </c>
      <c r="D94">
        <v>1249000</v>
      </c>
      <c r="E94">
        <v>1962</v>
      </c>
      <c r="F94">
        <v>1500</v>
      </c>
      <c r="G94">
        <v>833</v>
      </c>
      <c r="H94">
        <v>18</v>
      </c>
      <c r="I94" s="4">
        <f t="shared" si="5"/>
        <v>36149</v>
      </c>
      <c r="J94" s="6">
        <f t="shared" si="6"/>
        <v>1824374.6301979565</v>
      </c>
      <c r="K94" s="8">
        <f t="shared" si="7"/>
        <v>-1482</v>
      </c>
      <c r="L94" s="10">
        <f t="shared" si="8"/>
        <v>64429614440.07103</v>
      </c>
      <c r="M94" s="4">
        <f t="shared" si="9"/>
        <v>-71129103.903530613</v>
      </c>
    </row>
    <row r="95" spans="1:13" x14ac:dyDescent="0.2">
      <c r="A95" s="1">
        <v>0</v>
      </c>
      <c r="B95">
        <v>3</v>
      </c>
      <c r="C95">
        <v>3</v>
      </c>
      <c r="D95">
        <v>1500000</v>
      </c>
      <c r="E95">
        <v>1962</v>
      </c>
      <c r="F95">
        <v>1600</v>
      </c>
      <c r="G95">
        <v>938</v>
      </c>
      <c r="H95">
        <v>18</v>
      </c>
      <c r="I95" s="4">
        <f t="shared" si="5"/>
        <v>36254</v>
      </c>
      <c r="J95" s="6">
        <f t="shared" si="6"/>
        <v>2121710.9760000003</v>
      </c>
      <c r="K95" s="8">
        <f t="shared" si="7"/>
        <v>-1582</v>
      </c>
      <c r="L95" s="10">
        <f t="shared" si="8"/>
        <v>74930344828.416016</v>
      </c>
      <c r="M95" s="4">
        <f t="shared" si="9"/>
        <v>-106049013.36730963</v>
      </c>
    </row>
    <row r="96" spans="1:13" x14ac:dyDescent="0.2">
      <c r="A96" s="1">
        <v>0</v>
      </c>
      <c r="B96">
        <v>1</v>
      </c>
      <c r="C96">
        <v>1</v>
      </c>
      <c r="D96">
        <v>1135000</v>
      </c>
      <c r="E96">
        <v>2005</v>
      </c>
      <c r="F96">
        <v>715</v>
      </c>
      <c r="G96">
        <v>1587</v>
      </c>
      <c r="H96">
        <v>19</v>
      </c>
      <c r="I96" s="4">
        <f t="shared" si="5"/>
        <v>39682</v>
      </c>
      <c r="J96" s="6">
        <f t="shared" si="6"/>
        <v>2532995.6086372104</v>
      </c>
      <c r="K96" s="8">
        <f t="shared" si="7"/>
        <v>-696</v>
      </c>
      <c r="L96" s="10">
        <f t="shared" si="8"/>
        <v>96494467711.034531</v>
      </c>
      <c r="M96" s="4">
        <f t="shared" si="9"/>
        <v>-45463061.598473862</v>
      </c>
    </row>
    <row r="97" spans="1:13" x14ac:dyDescent="0.2">
      <c r="A97" s="1">
        <v>0</v>
      </c>
      <c r="B97">
        <v>1</v>
      </c>
      <c r="C97">
        <v>1</v>
      </c>
      <c r="D97">
        <v>1145000</v>
      </c>
      <c r="E97">
        <v>2005</v>
      </c>
      <c r="F97">
        <v>700</v>
      </c>
      <c r="G97">
        <v>1636</v>
      </c>
      <c r="H97">
        <v>19</v>
      </c>
      <c r="I97" s="4">
        <f t="shared" si="5"/>
        <v>39731</v>
      </c>
      <c r="J97" s="6">
        <f t="shared" si="6"/>
        <v>2583668.6083883862</v>
      </c>
      <c r="K97" s="8">
        <f t="shared" si="7"/>
        <v>-681</v>
      </c>
      <c r="L97" s="10">
        <f t="shared" si="8"/>
        <v>98424855636.555573</v>
      </c>
      <c r="M97" s="4">
        <f t="shared" si="9"/>
        <v>-45772912.587656252</v>
      </c>
    </row>
    <row r="98" spans="1:13" x14ac:dyDescent="0.2">
      <c r="A98" s="1">
        <v>0</v>
      </c>
      <c r="B98">
        <v>2</v>
      </c>
      <c r="C98">
        <v>2</v>
      </c>
      <c r="D98">
        <v>1725000</v>
      </c>
      <c r="E98">
        <v>2005</v>
      </c>
      <c r="F98">
        <v>976</v>
      </c>
      <c r="G98">
        <v>1767</v>
      </c>
      <c r="H98">
        <v>19</v>
      </c>
      <c r="I98" s="4">
        <f t="shared" si="5"/>
        <v>39862</v>
      </c>
      <c r="J98" s="6">
        <f t="shared" si="6"/>
        <v>3295079.8818364916</v>
      </c>
      <c r="K98" s="8">
        <f t="shared" si="7"/>
        <v>-957</v>
      </c>
      <c r="L98" s="10">
        <f t="shared" si="8"/>
        <v>125526068098.56114</v>
      </c>
      <c r="M98" s="4">
        <f t="shared" si="9"/>
        <v>-123590794.92863326</v>
      </c>
    </row>
    <row r="99" spans="1:13" x14ac:dyDescent="0.2">
      <c r="A99" s="1">
        <v>0</v>
      </c>
      <c r="B99">
        <v>2</v>
      </c>
      <c r="C99">
        <v>2</v>
      </c>
      <c r="D99">
        <v>3500000</v>
      </c>
      <c r="E99">
        <v>1925</v>
      </c>
      <c r="F99">
        <v>1550</v>
      </c>
      <c r="G99">
        <v>2258</v>
      </c>
      <c r="H99">
        <v>20</v>
      </c>
      <c r="I99" s="4">
        <f t="shared" si="5"/>
        <v>40758</v>
      </c>
      <c r="J99" s="6">
        <f t="shared" si="6"/>
        <v>5585610.7923335843</v>
      </c>
      <c r="K99" s="8">
        <f t="shared" si="7"/>
        <v>-1530</v>
      </c>
      <c r="L99" s="10">
        <f t="shared" si="8"/>
        <v>215046015504.84299</v>
      </c>
      <c r="M99" s="4">
        <f t="shared" si="9"/>
        <v>-686818584.63456011</v>
      </c>
    </row>
    <row r="100" spans="1:13" x14ac:dyDescent="0.2">
      <c r="A100" s="1">
        <v>0</v>
      </c>
      <c r="B100">
        <v>0</v>
      </c>
      <c r="C100">
        <v>1</v>
      </c>
      <c r="D100">
        <v>525000</v>
      </c>
      <c r="E100">
        <v>1940</v>
      </c>
      <c r="F100">
        <v>525</v>
      </c>
      <c r="G100">
        <v>1000</v>
      </c>
      <c r="H100">
        <v>21</v>
      </c>
      <c r="I100" s="4">
        <f t="shared" si="5"/>
        <v>41740</v>
      </c>
      <c r="J100" s="6">
        <f t="shared" si="6"/>
        <v>1511645.0793436926</v>
      </c>
      <c r="K100" s="8">
        <f t="shared" si="7"/>
        <v>-504</v>
      </c>
      <c r="L100" s="10">
        <f t="shared" si="8"/>
        <v>61584420532.462036</v>
      </c>
      <c r="M100" s="4">
        <f t="shared" si="9"/>
        <v>-9718782.4811880365</v>
      </c>
    </row>
    <row r="101" spans="1:13" x14ac:dyDescent="0.2">
      <c r="A101" s="1">
        <v>0</v>
      </c>
      <c r="B101">
        <v>2</v>
      </c>
      <c r="C101">
        <v>2</v>
      </c>
      <c r="D101">
        <v>2025000</v>
      </c>
      <c r="E101">
        <v>1940</v>
      </c>
      <c r="F101">
        <v>1433</v>
      </c>
      <c r="G101">
        <v>1413</v>
      </c>
      <c r="H101">
        <v>21</v>
      </c>
      <c r="I101" s="4">
        <f t="shared" si="5"/>
        <v>42153</v>
      </c>
      <c r="J101" s="6">
        <f t="shared" si="6"/>
        <v>3528868.2152951672</v>
      </c>
      <c r="K101" s="8">
        <f t="shared" si="7"/>
        <v>-1412</v>
      </c>
      <c r="L101" s="10">
        <f t="shared" si="8"/>
        <v>143766091091.12512</v>
      </c>
      <c r="M101" s="4">
        <f t="shared" si="9"/>
        <v>-245170014.04020274</v>
      </c>
    </row>
    <row r="102" spans="1:13" x14ac:dyDescent="0.2">
      <c r="A102" s="1">
        <v>0</v>
      </c>
      <c r="B102">
        <v>2</v>
      </c>
      <c r="C102">
        <v>2</v>
      </c>
      <c r="D102">
        <v>3500000</v>
      </c>
      <c r="E102">
        <v>1986</v>
      </c>
      <c r="F102">
        <v>1463</v>
      </c>
      <c r="G102">
        <v>2392</v>
      </c>
      <c r="H102">
        <v>23</v>
      </c>
      <c r="I102" s="4">
        <f t="shared" si="5"/>
        <v>48070</v>
      </c>
      <c r="J102" s="6">
        <f t="shared" si="6"/>
        <v>6610922.4499585843</v>
      </c>
      <c r="K102" s="8">
        <f t="shared" si="7"/>
        <v>-1440</v>
      </c>
      <c r="L102" s="10">
        <f t="shared" si="8"/>
        <v>301973715669.20819</v>
      </c>
      <c r="M102" s="4">
        <f t="shared" si="9"/>
        <v>-907717779.84186876</v>
      </c>
    </row>
    <row r="103" spans="1:13" x14ac:dyDescent="0.2">
      <c r="A103" s="1">
        <v>0</v>
      </c>
      <c r="B103">
        <v>0</v>
      </c>
      <c r="C103">
        <v>1</v>
      </c>
      <c r="D103">
        <v>925000</v>
      </c>
      <c r="E103">
        <v>1978</v>
      </c>
      <c r="F103">
        <v>585</v>
      </c>
      <c r="G103">
        <v>1581</v>
      </c>
      <c r="H103">
        <v>24</v>
      </c>
      <c r="I103" s="4">
        <f t="shared" si="5"/>
        <v>49053</v>
      </c>
      <c r="J103" s="6">
        <f t="shared" si="6"/>
        <v>2883181.1700519733</v>
      </c>
      <c r="K103" s="8">
        <f t="shared" si="7"/>
        <v>-561</v>
      </c>
      <c r="L103" s="10">
        <f t="shared" si="8"/>
        <v>136870376504.70728</v>
      </c>
      <c r="M103" s="4">
        <f t="shared" si="9"/>
        <v>-42360903.931821018</v>
      </c>
    </row>
    <row r="104" spans="1:13" x14ac:dyDescent="0.2">
      <c r="A104" s="1">
        <v>0</v>
      </c>
      <c r="B104">
        <v>2</v>
      </c>
      <c r="C104">
        <v>2</v>
      </c>
      <c r="D104">
        <v>1700000</v>
      </c>
      <c r="E104">
        <v>1982</v>
      </c>
      <c r="F104">
        <v>1007</v>
      </c>
      <c r="G104">
        <v>1688</v>
      </c>
      <c r="H104">
        <v>25</v>
      </c>
      <c r="I104" s="4">
        <f t="shared" si="5"/>
        <v>51238</v>
      </c>
      <c r="J104" s="6">
        <f t="shared" si="6"/>
        <v>4207053.8839897569</v>
      </c>
      <c r="K104" s="8">
        <f t="shared" si="7"/>
        <v>-982</v>
      </c>
      <c r="L104" s="10">
        <f t="shared" si="8"/>
        <v>208459519951.69247</v>
      </c>
      <c r="M104" s="4">
        <f t="shared" si="9"/>
        <v>-207555050.39340687</v>
      </c>
    </row>
    <row r="105" spans="1:13" x14ac:dyDescent="0.2">
      <c r="A105" s="1">
        <v>0</v>
      </c>
      <c r="B105">
        <v>2</v>
      </c>
      <c r="C105">
        <v>2</v>
      </c>
      <c r="D105">
        <v>1700000</v>
      </c>
      <c r="E105">
        <v>1982</v>
      </c>
      <c r="F105">
        <v>1007</v>
      </c>
      <c r="G105">
        <v>1688</v>
      </c>
      <c r="H105">
        <v>25</v>
      </c>
      <c r="I105" s="4">
        <f t="shared" si="5"/>
        <v>51238</v>
      </c>
      <c r="J105" s="6">
        <f t="shared" si="6"/>
        <v>4207053.8839897569</v>
      </c>
      <c r="K105" s="8">
        <f t="shared" si="7"/>
        <v>-982</v>
      </c>
      <c r="L105" s="10">
        <f t="shared" si="8"/>
        <v>208459519951.69247</v>
      </c>
      <c r="M105" s="4">
        <f t="shared" si="9"/>
        <v>-207555050.39340687</v>
      </c>
    </row>
    <row r="106" spans="1:13" x14ac:dyDescent="0.2">
      <c r="A106" s="1">
        <v>0</v>
      </c>
      <c r="B106">
        <v>0</v>
      </c>
      <c r="C106">
        <v>1</v>
      </c>
      <c r="D106">
        <v>449000</v>
      </c>
      <c r="E106">
        <v>1962</v>
      </c>
      <c r="F106">
        <v>550</v>
      </c>
      <c r="G106">
        <v>816</v>
      </c>
      <c r="H106">
        <v>10</v>
      </c>
      <c r="I106" s="4">
        <f t="shared" si="5"/>
        <v>20436</v>
      </c>
      <c r="J106" s="6">
        <f t="shared" si="6"/>
        <v>601204.73416330048</v>
      </c>
      <c r="K106" s="8">
        <f t="shared" si="7"/>
        <v>-540</v>
      </c>
      <c r="L106" s="10">
        <f t="shared" si="8"/>
        <v>11795636884.283955</v>
      </c>
      <c r="M106" s="4">
        <f t="shared" si="9"/>
        <v>-1705739.311501245</v>
      </c>
    </row>
    <row r="107" spans="1:13" x14ac:dyDescent="0.2">
      <c r="A107" s="1">
        <v>0</v>
      </c>
      <c r="B107">
        <v>0</v>
      </c>
      <c r="C107">
        <v>1</v>
      </c>
      <c r="D107">
        <v>299000</v>
      </c>
      <c r="E107">
        <v>1930</v>
      </c>
      <c r="F107">
        <v>400</v>
      </c>
      <c r="G107">
        <v>748</v>
      </c>
      <c r="H107">
        <v>12</v>
      </c>
      <c r="I107" s="4">
        <f t="shared" si="5"/>
        <v>23908</v>
      </c>
      <c r="J107" s="6">
        <f t="shared" si="6"/>
        <v>563980.03200000001</v>
      </c>
      <c r="K107" s="8">
        <f t="shared" si="7"/>
        <v>-388</v>
      </c>
      <c r="L107" s="10">
        <f t="shared" si="8"/>
        <v>13061777541.119999</v>
      </c>
      <c r="M107" s="4">
        <f t="shared" si="9"/>
        <v>-903766.75077386107</v>
      </c>
    </row>
    <row r="108" spans="1:13" x14ac:dyDescent="0.2">
      <c r="A108" s="1">
        <v>0</v>
      </c>
      <c r="B108">
        <v>1</v>
      </c>
      <c r="C108">
        <v>1</v>
      </c>
      <c r="D108">
        <v>695000</v>
      </c>
      <c r="E108">
        <v>1961</v>
      </c>
      <c r="F108">
        <v>720</v>
      </c>
      <c r="G108">
        <v>965</v>
      </c>
      <c r="H108">
        <v>16</v>
      </c>
      <c r="I108" s="4">
        <f t="shared" si="5"/>
        <v>32341</v>
      </c>
      <c r="J108" s="6">
        <f t="shared" si="6"/>
        <v>1301560.7169752396</v>
      </c>
      <c r="K108" s="8">
        <f t="shared" si="7"/>
        <v>-704</v>
      </c>
      <c r="L108" s="10">
        <f t="shared" si="8"/>
        <v>40837769055.815117</v>
      </c>
      <c r="M108" s="4">
        <f t="shared" si="9"/>
        <v>-11917101.422189455</v>
      </c>
    </row>
    <row r="109" spans="1:13" x14ac:dyDescent="0.2">
      <c r="A109" s="1">
        <v>0</v>
      </c>
      <c r="B109">
        <v>1</v>
      </c>
      <c r="C109">
        <v>1</v>
      </c>
      <c r="D109">
        <v>695000</v>
      </c>
      <c r="E109">
        <v>1961</v>
      </c>
      <c r="F109">
        <v>720</v>
      </c>
      <c r="G109">
        <v>965</v>
      </c>
      <c r="H109">
        <v>16</v>
      </c>
      <c r="I109" s="4">
        <f t="shared" si="5"/>
        <v>32341</v>
      </c>
      <c r="J109" s="6">
        <f t="shared" si="6"/>
        <v>1301560.7169752396</v>
      </c>
      <c r="K109" s="8">
        <f t="shared" si="7"/>
        <v>-704</v>
      </c>
      <c r="L109" s="10">
        <f t="shared" si="8"/>
        <v>40837769055.815117</v>
      </c>
      <c r="M109" s="4">
        <f t="shared" si="9"/>
        <v>-11917101.422189455</v>
      </c>
    </row>
    <row r="110" spans="1:13" x14ac:dyDescent="0.2">
      <c r="A110" s="1">
        <v>0</v>
      </c>
      <c r="B110">
        <v>4</v>
      </c>
      <c r="C110">
        <v>5</v>
      </c>
      <c r="D110">
        <v>17750000</v>
      </c>
      <c r="E110">
        <v>2012</v>
      </c>
      <c r="F110">
        <v>4476</v>
      </c>
      <c r="G110">
        <v>3966</v>
      </c>
      <c r="H110">
        <v>20</v>
      </c>
      <c r="I110" s="4">
        <f t="shared" si="5"/>
        <v>44206</v>
      </c>
      <c r="J110" s="6">
        <f t="shared" si="6"/>
        <v>16671651.86053264</v>
      </c>
      <c r="K110" s="8">
        <f t="shared" si="7"/>
        <v>-4456</v>
      </c>
      <c r="L110" s="10">
        <f t="shared" si="8"/>
        <v>670867270867.83337</v>
      </c>
      <c r="M110" s="4">
        <f t="shared" si="9"/>
        <v>-31646909658.34306</v>
      </c>
    </row>
    <row r="111" spans="1:13" x14ac:dyDescent="0.2">
      <c r="A111" s="1">
        <v>0</v>
      </c>
      <c r="B111">
        <v>5</v>
      </c>
      <c r="C111">
        <v>5</v>
      </c>
      <c r="D111">
        <v>27500000</v>
      </c>
      <c r="E111">
        <v>1930</v>
      </c>
      <c r="F111">
        <v>7500</v>
      </c>
      <c r="G111">
        <v>3667</v>
      </c>
      <c r="H111">
        <v>21</v>
      </c>
      <c r="I111" s="4">
        <f t="shared" si="5"/>
        <v>44197</v>
      </c>
      <c r="J111" s="6">
        <f t="shared" si="6"/>
        <v>20951336.139460754</v>
      </c>
      <c r="K111" s="8">
        <f t="shared" si="7"/>
        <v>-7479</v>
      </c>
      <c r="L111" s="10">
        <f t="shared" si="8"/>
        <v>849157653732.34436</v>
      </c>
      <c r="M111" s="4">
        <f t="shared" si="9"/>
        <v>-104163536982.40445</v>
      </c>
    </row>
    <row r="112" spans="1:13" x14ac:dyDescent="0.2">
      <c r="A112" s="1">
        <v>0</v>
      </c>
      <c r="B112">
        <v>0</v>
      </c>
      <c r="C112">
        <v>1</v>
      </c>
      <c r="D112">
        <v>539000</v>
      </c>
      <c r="E112">
        <v>1957</v>
      </c>
      <c r="F112">
        <v>485</v>
      </c>
      <c r="G112">
        <v>1111</v>
      </c>
      <c r="H112">
        <v>10</v>
      </c>
      <c r="I112" s="4">
        <f t="shared" si="5"/>
        <v>20681</v>
      </c>
      <c r="J112" s="6">
        <f t="shared" si="6"/>
        <v>768662.7166841015</v>
      </c>
      <c r="K112" s="8">
        <f t="shared" si="7"/>
        <v>-475</v>
      </c>
      <c r="L112" s="10">
        <f t="shared" si="8"/>
        <v>15042729365.507868</v>
      </c>
      <c r="M112" s="4">
        <f t="shared" si="9"/>
        <v>-2296995.6880154409</v>
      </c>
    </row>
    <row r="113" spans="1:13" x14ac:dyDescent="0.2">
      <c r="A113" s="1">
        <v>0</v>
      </c>
      <c r="B113">
        <v>0</v>
      </c>
      <c r="C113">
        <v>1</v>
      </c>
      <c r="D113">
        <v>779000</v>
      </c>
      <c r="E113">
        <v>1975</v>
      </c>
      <c r="F113">
        <v>512</v>
      </c>
      <c r="G113">
        <v>1521</v>
      </c>
      <c r="H113">
        <v>10</v>
      </c>
      <c r="I113" s="4">
        <f t="shared" si="5"/>
        <v>21271</v>
      </c>
      <c r="J113" s="6">
        <f t="shared" si="6"/>
        <v>1081222.5201928881</v>
      </c>
      <c r="K113" s="8">
        <f t="shared" si="7"/>
        <v>-502</v>
      </c>
      <c r="L113" s="10">
        <f t="shared" si="8"/>
        <v>21354144773.80954</v>
      </c>
      <c r="M113" s="4">
        <f t="shared" si="9"/>
        <v>-4980518.0747968601</v>
      </c>
    </row>
    <row r="114" spans="1:13" x14ac:dyDescent="0.2">
      <c r="A114" s="1">
        <v>0</v>
      </c>
      <c r="B114">
        <v>1</v>
      </c>
      <c r="C114">
        <v>1</v>
      </c>
      <c r="D114">
        <v>925000</v>
      </c>
      <c r="E114">
        <v>1985</v>
      </c>
      <c r="F114">
        <v>745</v>
      </c>
      <c r="G114">
        <v>1242</v>
      </c>
      <c r="H114">
        <v>10</v>
      </c>
      <c r="I114" s="4">
        <f t="shared" si="5"/>
        <v>21092</v>
      </c>
      <c r="J114" s="6">
        <f t="shared" si="6"/>
        <v>1065002.4834053065</v>
      </c>
      <c r="K114" s="8">
        <f t="shared" si="7"/>
        <v>-735</v>
      </c>
      <c r="L114" s="10">
        <f t="shared" si="8"/>
        <v>21140299295.595333</v>
      </c>
      <c r="M114" s="4">
        <f t="shared" si="9"/>
        <v>-8572181.6679017767</v>
      </c>
    </row>
    <row r="115" spans="1:13" x14ac:dyDescent="0.2">
      <c r="A115" s="1">
        <v>0</v>
      </c>
      <c r="B115">
        <v>1</v>
      </c>
      <c r="C115">
        <v>1</v>
      </c>
      <c r="D115">
        <v>1319000</v>
      </c>
      <c r="E115">
        <v>1958</v>
      </c>
      <c r="F115">
        <v>1000</v>
      </c>
      <c r="G115">
        <v>1319</v>
      </c>
      <c r="H115">
        <v>10</v>
      </c>
      <c r="I115" s="4">
        <f t="shared" si="5"/>
        <v>20899</v>
      </c>
      <c r="J115" s="6">
        <f t="shared" si="6"/>
        <v>1310375.2564786992</v>
      </c>
      <c r="K115" s="8">
        <f t="shared" si="7"/>
        <v>-990</v>
      </c>
      <c r="L115" s="10">
        <f t="shared" si="8"/>
        <v>25657147521.852928</v>
      </c>
      <c r="M115" s="4">
        <f t="shared" si="9"/>
        <v>-19982026.213736124</v>
      </c>
    </row>
    <row r="116" spans="1:13" x14ac:dyDescent="0.2">
      <c r="A116" s="1">
        <v>0</v>
      </c>
      <c r="B116">
        <v>2</v>
      </c>
      <c r="C116">
        <v>2</v>
      </c>
      <c r="D116">
        <v>4240000</v>
      </c>
      <c r="E116">
        <v>2016</v>
      </c>
      <c r="F116">
        <v>1741</v>
      </c>
      <c r="G116">
        <v>2435</v>
      </c>
      <c r="H116">
        <v>10</v>
      </c>
      <c r="I116" s="4">
        <f t="shared" si="5"/>
        <v>22595</v>
      </c>
      <c r="J116" s="6">
        <f t="shared" si="6"/>
        <v>3191899.7252929718</v>
      </c>
      <c r="K116" s="8">
        <f t="shared" si="7"/>
        <v>-1731</v>
      </c>
      <c r="L116" s="10">
        <f t="shared" si="8"/>
        <v>64348698461.906311</v>
      </c>
      <c r="M116" s="4">
        <f t="shared" si="9"/>
        <v>-281678600.6679731</v>
      </c>
    </row>
    <row r="117" spans="1:13" x14ac:dyDescent="0.2">
      <c r="A117" s="1">
        <v>0</v>
      </c>
      <c r="B117">
        <v>2</v>
      </c>
      <c r="C117">
        <v>2</v>
      </c>
      <c r="D117">
        <v>4285000</v>
      </c>
      <c r="E117">
        <v>2016</v>
      </c>
      <c r="F117">
        <v>1747</v>
      </c>
      <c r="G117">
        <v>2453</v>
      </c>
      <c r="H117">
        <v>10</v>
      </c>
      <c r="I117" s="4">
        <f t="shared" si="5"/>
        <v>22613</v>
      </c>
      <c r="J117" s="6">
        <f t="shared" si="6"/>
        <v>3221030.8840233567</v>
      </c>
      <c r="K117" s="8">
        <f t="shared" si="7"/>
        <v>-1737</v>
      </c>
      <c r="L117" s="10">
        <f t="shared" si="8"/>
        <v>64935982621.910866</v>
      </c>
      <c r="M117" s="4">
        <f t="shared" si="9"/>
        <v>-288261886.42788726</v>
      </c>
    </row>
    <row r="118" spans="1:13" x14ac:dyDescent="0.2">
      <c r="A118" s="1">
        <v>0</v>
      </c>
      <c r="B118">
        <v>3</v>
      </c>
      <c r="C118">
        <v>3</v>
      </c>
      <c r="D118">
        <v>4875000</v>
      </c>
      <c r="E118">
        <v>2016</v>
      </c>
      <c r="F118">
        <v>2017</v>
      </c>
      <c r="G118">
        <v>2417</v>
      </c>
      <c r="H118">
        <v>10</v>
      </c>
      <c r="I118" s="4">
        <f t="shared" si="5"/>
        <v>22577</v>
      </c>
      <c r="J118" s="6">
        <f t="shared" si="6"/>
        <v>3410205.0075076264</v>
      </c>
      <c r="K118" s="8">
        <f t="shared" si="7"/>
        <v>-2007</v>
      </c>
      <c r="L118" s="10">
        <f t="shared" si="8"/>
        <v>68749732951.353745</v>
      </c>
      <c r="M118" s="4">
        <f t="shared" si="9"/>
        <v>-401184523.62537086</v>
      </c>
    </row>
    <row r="119" spans="1:13" x14ac:dyDescent="0.2">
      <c r="A119" s="1">
        <v>0</v>
      </c>
      <c r="B119">
        <v>3</v>
      </c>
      <c r="C119">
        <v>3</v>
      </c>
      <c r="D119">
        <v>14950000</v>
      </c>
      <c r="E119">
        <v>1931</v>
      </c>
      <c r="F119">
        <v>4435</v>
      </c>
      <c r="G119">
        <v>3371</v>
      </c>
      <c r="H119">
        <v>10</v>
      </c>
      <c r="I119" s="4">
        <f t="shared" si="5"/>
        <v>22681</v>
      </c>
      <c r="J119" s="6">
        <f t="shared" si="6"/>
        <v>7052716.9242955325</v>
      </c>
      <c r="K119" s="8">
        <f t="shared" si="7"/>
        <v>-4425</v>
      </c>
      <c r="L119" s="10">
        <f t="shared" si="8"/>
        <v>136187963808.14673</v>
      </c>
      <c r="M119" s="4">
        <f t="shared" si="9"/>
        <v>-5373340441.9110889</v>
      </c>
    </row>
    <row r="120" spans="1:13" x14ac:dyDescent="0.2">
      <c r="A120" s="1">
        <v>0</v>
      </c>
      <c r="B120">
        <v>3</v>
      </c>
      <c r="C120">
        <v>3</v>
      </c>
      <c r="D120">
        <v>10225000</v>
      </c>
      <c r="E120">
        <v>2016</v>
      </c>
      <c r="F120">
        <v>3007</v>
      </c>
      <c r="G120">
        <v>3400</v>
      </c>
      <c r="H120">
        <v>10</v>
      </c>
      <c r="I120" s="4">
        <f t="shared" si="5"/>
        <v>23560</v>
      </c>
      <c r="J120" s="6">
        <f t="shared" si="6"/>
        <v>5857287.2009499008</v>
      </c>
      <c r="K120" s="8">
        <f t="shared" si="7"/>
        <v>-2997</v>
      </c>
      <c r="L120" s="10">
        <f t="shared" si="8"/>
        <v>118082909971.14999</v>
      </c>
      <c r="M120" s="4">
        <f t="shared" si="9"/>
        <v>-2158183012.0555644</v>
      </c>
    </row>
    <row r="121" spans="1:13" x14ac:dyDescent="0.2">
      <c r="A121" s="1">
        <v>0</v>
      </c>
      <c r="B121">
        <v>4</v>
      </c>
      <c r="C121">
        <v>4</v>
      </c>
      <c r="D121">
        <v>13400000</v>
      </c>
      <c r="E121">
        <v>2016</v>
      </c>
      <c r="F121">
        <v>3331</v>
      </c>
      <c r="G121">
        <v>4023</v>
      </c>
      <c r="H121">
        <v>10</v>
      </c>
      <c r="I121" s="4">
        <f t="shared" si="5"/>
        <v>24183</v>
      </c>
      <c r="J121" s="6">
        <f t="shared" si="6"/>
        <v>7294377.5324147316</v>
      </c>
      <c r="K121" s="8">
        <f t="shared" si="7"/>
        <v>-3321</v>
      </c>
      <c r="L121" s="10">
        <f t="shared" si="8"/>
        <v>147054651053.48099</v>
      </c>
      <c r="M121" s="4">
        <f t="shared" si="9"/>
        <v>-3903045389.8343196</v>
      </c>
    </row>
    <row r="122" spans="1:13" x14ac:dyDescent="0.2">
      <c r="A122" s="1">
        <v>0</v>
      </c>
      <c r="B122">
        <v>5</v>
      </c>
      <c r="C122">
        <v>5</v>
      </c>
      <c r="D122">
        <v>19000000</v>
      </c>
      <c r="E122">
        <v>2016</v>
      </c>
      <c r="F122">
        <v>4972</v>
      </c>
      <c r="G122">
        <v>3821</v>
      </c>
      <c r="H122">
        <v>10</v>
      </c>
      <c r="I122" s="4">
        <f t="shared" si="5"/>
        <v>23981</v>
      </c>
      <c r="J122" s="6">
        <f t="shared" si="6"/>
        <v>8464347.5216881186</v>
      </c>
      <c r="K122" s="8">
        <f t="shared" si="7"/>
        <v>-4962</v>
      </c>
      <c r="L122" s="10">
        <f t="shared" si="8"/>
        <v>170641246037.23248</v>
      </c>
      <c r="M122" s="4">
        <f t="shared" si="9"/>
        <v>-9595012338.6468296</v>
      </c>
    </row>
    <row r="123" spans="1:13" x14ac:dyDescent="0.2">
      <c r="A123" s="1">
        <v>0</v>
      </c>
      <c r="B123">
        <v>0</v>
      </c>
      <c r="C123">
        <v>1</v>
      </c>
      <c r="D123">
        <v>539000</v>
      </c>
      <c r="E123">
        <v>1957</v>
      </c>
      <c r="F123">
        <v>485</v>
      </c>
      <c r="G123">
        <v>1111</v>
      </c>
      <c r="H123">
        <v>11</v>
      </c>
      <c r="I123" s="4">
        <f t="shared" si="5"/>
        <v>22638</v>
      </c>
      <c r="J123" s="6">
        <f t="shared" si="6"/>
        <v>845528.98835251166</v>
      </c>
      <c r="K123" s="8">
        <f t="shared" si="7"/>
        <v>-474</v>
      </c>
      <c r="L123" s="10">
        <f t="shared" si="8"/>
        <v>18201702532.264519</v>
      </c>
      <c r="M123" s="4">
        <f t="shared" si="9"/>
        <v>-2773513.4882197389</v>
      </c>
    </row>
    <row r="124" spans="1:13" x14ac:dyDescent="0.2">
      <c r="A124" s="1">
        <v>0</v>
      </c>
      <c r="B124">
        <v>1</v>
      </c>
      <c r="C124">
        <v>1</v>
      </c>
      <c r="D124">
        <v>835000</v>
      </c>
      <c r="E124">
        <v>1963</v>
      </c>
      <c r="F124">
        <v>700</v>
      </c>
      <c r="G124">
        <v>1193</v>
      </c>
      <c r="H124">
        <v>12</v>
      </c>
      <c r="I124" s="4">
        <f t="shared" si="5"/>
        <v>24749</v>
      </c>
      <c r="J124" s="6">
        <f t="shared" si="6"/>
        <v>1189930.5043652086</v>
      </c>
      <c r="K124" s="8">
        <f t="shared" si="7"/>
        <v>-688</v>
      </c>
      <c r="L124" s="10">
        <f t="shared" si="8"/>
        <v>28030002960.826851</v>
      </c>
      <c r="M124" s="4">
        <f t="shared" si="9"/>
        <v>-9603935.1822642107</v>
      </c>
    </row>
    <row r="125" spans="1:13" x14ac:dyDescent="0.2">
      <c r="A125" s="1">
        <v>0</v>
      </c>
      <c r="B125">
        <v>10</v>
      </c>
      <c r="C125">
        <v>10</v>
      </c>
      <c r="D125">
        <v>7995000</v>
      </c>
      <c r="E125">
        <v>1910</v>
      </c>
      <c r="F125">
        <v>6400</v>
      </c>
      <c r="G125">
        <v>1249</v>
      </c>
      <c r="H125">
        <v>12</v>
      </c>
      <c r="I125" s="4">
        <f t="shared" si="5"/>
        <v>24169</v>
      </c>
      <c r="J125" s="6">
        <f t="shared" si="6"/>
        <v>3766904.0639999998</v>
      </c>
      <c r="K125" s="8">
        <f t="shared" si="7"/>
        <v>-6388</v>
      </c>
      <c r="L125" s="10">
        <f t="shared" si="8"/>
        <v>86337441146.880005</v>
      </c>
      <c r="M125" s="4">
        <f t="shared" si="9"/>
        <v>-2629866551.641335</v>
      </c>
    </row>
    <row r="126" spans="1:13" x14ac:dyDescent="0.2">
      <c r="A126" s="1">
        <v>0</v>
      </c>
      <c r="B126">
        <v>0</v>
      </c>
      <c r="C126">
        <v>1</v>
      </c>
      <c r="D126">
        <v>349000</v>
      </c>
      <c r="E126">
        <v>1960</v>
      </c>
      <c r="F126">
        <v>400</v>
      </c>
      <c r="G126">
        <v>873</v>
      </c>
      <c r="H126">
        <v>13</v>
      </c>
      <c r="I126" s="4">
        <f t="shared" si="5"/>
        <v>26353</v>
      </c>
      <c r="J126" s="6">
        <f t="shared" si="6"/>
        <v>713080.36800000002</v>
      </c>
      <c r="K126" s="8">
        <f t="shared" si="7"/>
        <v>-387</v>
      </c>
      <c r="L126" s="10">
        <f t="shared" si="8"/>
        <v>18169287776.639999</v>
      </c>
      <c r="M126" s="4">
        <f t="shared" si="9"/>
        <v>-1463610.3047390755</v>
      </c>
    </row>
    <row r="127" spans="1:13" x14ac:dyDescent="0.2">
      <c r="A127" s="1">
        <v>0</v>
      </c>
      <c r="B127">
        <v>1</v>
      </c>
      <c r="C127">
        <v>1</v>
      </c>
      <c r="D127">
        <v>588000</v>
      </c>
      <c r="E127">
        <v>1970</v>
      </c>
      <c r="F127">
        <v>600</v>
      </c>
      <c r="G127">
        <v>980</v>
      </c>
      <c r="H127">
        <v>14</v>
      </c>
      <c r="I127" s="4">
        <f t="shared" si="5"/>
        <v>28560</v>
      </c>
      <c r="J127" s="6">
        <f t="shared" si="6"/>
        <v>1055797.4890972711</v>
      </c>
      <c r="K127" s="8">
        <f t="shared" si="7"/>
        <v>-586</v>
      </c>
      <c r="L127" s="10">
        <f t="shared" si="8"/>
        <v>29118894749.302738</v>
      </c>
      <c r="M127" s="4">
        <f t="shared" si="9"/>
        <v>-5984129.6153420722</v>
      </c>
    </row>
    <row r="128" spans="1:13" x14ac:dyDescent="0.2">
      <c r="A128" s="1">
        <v>0</v>
      </c>
      <c r="B128">
        <v>2</v>
      </c>
      <c r="C128">
        <v>2</v>
      </c>
      <c r="D128">
        <v>8690000</v>
      </c>
      <c r="E128">
        <v>2002</v>
      </c>
      <c r="F128">
        <v>2178</v>
      </c>
      <c r="G128">
        <v>3990</v>
      </c>
      <c r="H128">
        <v>15</v>
      </c>
      <c r="I128" s="4">
        <f t="shared" si="5"/>
        <v>34020</v>
      </c>
      <c r="J128" s="6">
        <f t="shared" si="6"/>
        <v>8774936.4665802252</v>
      </c>
      <c r="K128" s="8">
        <f t="shared" si="7"/>
        <v>-2163</v>
      </c>
      <c r="L128" s="10">
        <f t="shared" si="8"/>
        <v>263511342091.40414</v>
      </c>
      <c r="M128" s="4">
        <f t="shared" si="9"/>
        <v>-2954110741.260509</v>
      </c>
    </row>
    <row r="129" spans="1:13" x14ac:dyDescent="0.2">
      <c r="A129" s="1">
        <v>0</v>
      </c>
      <c r="B129">
        <v>2</v>
      </c>
      <c r="C129">
        <v>2</v>
      </c>
      <c r="D129">
        <v>4195000</v>
      </c>
      <c r="E129">
        <v>2016</v>
      </c>
      <c r="F129">
        <v>1750</v>
      </c>
      <c r="G129">
        <v>2397</v>
      </c>
      <c r="H129">
        <v>15</v>
      </c>
      <c r="I129" s="4">
        <f t="shared" si="5"/>
        <v>32637</v>
      </c>
      <c r="J129" s="6">
        <f t="shared" si="6"/>
        <v>4725298.0357834538</v>
      </c>
      <c r="K129" s="8">
        <f t="shared" si="7"/>
        <v>-1735</v>
      </c>
      <c r="L129" s="10">
        <f t="shared" si="8"/>
        <v>142893012602.09164</v>
      </c>
      <c r="M129" s="4">
        <f t="shared" si="9"/>
        <v>-620288314.67325604</v>
      </c>
    </row>
    <row r="130" spans="1:13" x14ac:dyDescent="0.2">
      <c r="A130" s="1">
        <v>0</v>
      </c>
      <c r="B130">
        <v>2</v>
      </c>
      <c r="C130">
        <v>2</v>
      </c>
      <c r="D130">
        <v>4195000</v>
      </c>
      <c r="E130">
        <v>2016</v>
      </c>
      <c r="F130">
        <v>1742</v>
      </c>
      <c r="G130">
        <v>2408</v>
      </c>
      <c r="H130">
        <v>15</v>
      </c>
      <c r="I130" s="4">
        <f t="shared" si="5"/>
        <v>32648</v>
      </c>
      <c r="J130" s="6">
        <f t="shared" si="6"/>
        <v>4736120.0826736623</v>
      </c>
      <c r="K130" s="8">
        <f t="shared" si="7"/>
        <v>-1727</v>
      </c>
      <c r="L130" s="10">
        <f t="shared" si="8"/>
        <v>143220271300.05154</v>
      </c>
      <c r="M130" s="4">
        <f t="shared" si="9"/>
        <v>-618842251.8219502</v>
      </c>
    </row>
    <row r="131" spans="1:13" x14ac:dyDescent="0.2">
      <c r="A131" s="1">
        <v>0</v>
      </c>
      <c r="B131">
        <v>2</v>
      </c>
      <c r="C131">
        <v>2</v>
      </c>
      <c r="D131">
        <v>4240000</v>
      </c>
      <c r="E131">
        <v>2016</v>
      </c>
      <c r="F131">
        <v>1741</v>
      </c>
      <c r="G131">
        <v>2435</v>
      </c>
      <c r="H131">
        <v>15</v>
      </c>
      <c r="I131" s="4">
        <f t="shared" ref="I131:I194" si="10">+(H131*E131)+G131</f>
        <v>32675</v>
      </c>
      <c r="J131" s="6">
        <f t="shared" ref="J131:J194" si="11">+(3.1416*G131*H131)*SQRT(F131)</f>
        <v>4787849.587939457</v>
      </c>
      <c r="K131" s="8">
        <f t="shared" ref="K131:K194" si="12">+H131-F131</f>
        <v>-1726</v>
      </c>
      <c r="L131" s="10">
        <f t="shared" ref="L131:L194" si="13">+J131*E131*H131</f>
        <v>144784571539.28918</v>
      </c>
      <c r="M131" s="4">
        <f t="shared" ref="M131:M194" si="14">(K131*L131/465743*D131)/3600000</f>
        <v>-631946184.6875062</v>
      </c>
    </row>
    <row r="132" spans="1:13" x14ac:dyDescent="0.2">
      <c r="A132" s="1">
        <v>0</v>
      </c>
      <c r="B132">
        <v>2</v>
      </c>
      <c r="C132">
        <v>2</v>
      </c>
      <c r="D132">
        <v>4285000</v>
      </c>
      <c r="E132">
        <v>2016</v>
      </c>
      <c r="F132">
        <v>1747</v>
      </c>
      <c r="G132">
        <v>2453</v>
      </c>
      <c r="H132">
        <v>15</v>
      </c>
      <c r="I132" s="4">
        <f t="shared" si="10"/>
        <v>32693</v>
      </c>
      <c r="J132" s="6">
        <f t="shared" si="11"/>
        <v>4831546.3260350348</v>
      </c>
      <c r="K132" s="8">
        <f t="shared" si="12"/>
        <v>-1732</v>
      </c>
      <c r="L132" s="10">
        <f t="shared" si="13"/>
        <v>146105960899.29947</v>
      </c>
      <c r="M132" s="4">
        <f t="shared" si="14"/>
        <v>-646722263.33303225</v>
      </c>
    </row>
    <row r="133" spans="1:13" x14ac:dyDescent="0.2">
      <c r="A133" s="1">
        <v>0</v>
      </c>
      <c r="B133">
        <v>3</v>
      </c>
      <c r="C133">
        <v>3</v>
      </c>
      <c r="D133">
        <v>4875000</v>
      </c>
      <c r="E133">
        <v>2016</v>
      </c>
      <c r="F133">
        <v>2017</v>
      </c>
      <c r="G133">
        <v>2417</v>
      </c>
      <c r="H133">
        <v>15</v>
      </c>
      <c r="I133" s="4">
        <f t="shared" si="10"/>
        <v>32657</v>
      </c>
      <c r="J133" s="6">
        <f t="shared" si="11"/>
        <v>5115307.5112614399</v>
      </c>
      <c r="K133" s="8">
        <f t="shared" si="12"/>
        <v>-2002</v>
      </c>
      <c r="L133" s="10">
        <f t="shared" si="13"/>
        <v>154686899140.54593</v>
      </c>
      <c r="M133" s="4">
        <f t="shared" si="14"/>
        <v>-900416385.98429656</v>
      </c>
    </row>
    <row r="134" spans="1:13" x14ac:dyDescent="0.2">
      <c r="A134" s="1">
        <v>0</v>
      </c>
      <c r="B134">
        <v>3</v>
      </c>
      <c r="C134">
        <v>3</v>
      </c>
      <c r="D134">
        <v>5750000</v>
      </c>
      <c r="E134">
        <v>2016</v>
      </c>
      <c r="F134">
        <v>2196</v>
      </c>
      <c r="G134">
        <v>2618</v>
      </c>
      <c r="H134">
        <v>15</v>
      </c>
      <c r="I134" s="4">
        <f t="shared" si="10"/>
        <v>32858</v>
      </c>
      <c r="J134" s="6">
        <f t="shared" si="11"/>
        <v>5781332.6315663951</v>
      </c>
      <c r="K134" s="8">
        <f t="shared" si="12"/>
        <v>-2181</v>
      </c>
      <c r="L134" s="10">
        <f t="shared" si="13"/>
        <v>174827498778.56778</v>
      </c>
      <c r="M134" s="4">
        <f t="shared" si="14"/>
        <v>-1307628620.2353156</v>
      </c>
    </row>
    <row r="135" spans="1:13" x14ac:dyDescent="0.2">
      <c r="A135" s="1">
        <v>0</v>
      </c>
      <c r="B135">
        <v>3</v>
      </c>
      <c r="C135">
        <v>3</v>
      </c>
      <c r="D135">
        <v>9350000</v>
      </c>
      <c r="E135">
        <v>2016</v>
      </c>
      <c r="F135">
        <v>3054</v>
      </c>
      <c r="G135">
        <v>3062</v>
      </c>
      <c r="H135">
        <v>15</v>
      </c>
      <c r="I135" s="4">
        <f t="shared" si="10"/>
        <v>33302</v>
      </c>
      <c r="J135" s="6">
        <f t="shared" si="11"/>
        <v>7974103.1648294246</v>
      </c>
      <c r="K135" s="8">
        <f t="shared" si="12"/>
        <v>-3039</v>
      </c>
      <c r="L135" s="10">
        <f t="shared" si="13"/>
        <v>241136879704.4418</v>
      </c>
      <c r="M135" s="4">
        <f t="shared" si="14"/>
        <v>-4086552764.3725648</v>
      </c>
    </row>
    <row r="136" spans="1:13" x14ac:dyDescent="0.2">
      <c r="A136" s="1">
        <v>0</v>
      </c>
      <c r="B136">
        <v>3</v>
      </c>
      <c r="C136">
        <v>3</v>
      </c>
      <c r="D136">
        <v>10225000</v>
      </c>
      <c r="E136">
        <v>2016</v>
      </c>
      <c r="F136">
        <v>3007</v>
      </c>
      <c r="G136">
        <v>3400</v>
      </c>
      <c r="H136">
        <v>15</v>
      </c>
      <c r="I136" s="4">
        <f t="shared" si="10"/>
        <v>33640</v>
      </c>
      <c r="J136" s="6">
        <f t="shared" si="11"/>
        <v>8785930.8014248516</v>
      </c>
      <c r="K136" s="8">
        <f t="shared" si="12"/>
        <v>-2992</v>
      </c>
      <c r="L136" s="10">
        <f t="shared" si="13"/>
        <v>265686547435.08752</v>
      </c>
      <c r="M136" s="4">
        <f t="shared" si="14"/>
        <v>-4847810489.5422297</v>
      </c>
    </row>
    <row r="137" spans="1:13" x14ac:dyDescent="0.2">
      <c r="A137" s="1">
        <v>0</v>
      </c>
      <c r="B137">
        <v>4</v>
      </c>
      <c r="C137">
        <v>4</v>
      </c>
      <c r="D137">
        <v>13150000</v>
      </c>
      <c r="E137">
        <v>2016</v>
      </c>
      <c r="F137">
        <v>3338</v>
      </c>
      <c r="G137">
        <v>3939</v>
      </c>
      <c r="H137">
        <v>15</v>
      </c>
      <c r="I137" s="4">
        <f t="shared" si="10"/>
        <v>34179</v>
      </c>
      <c r="J137" s="6">
        <f t="shared" si="11"/>
        <v>10724357.781425403</v>
      </c>
      <c r="K137" s="8">
        <f t="shared" si="12"/>
        <v>-3323</v>
      </c>
      <c r="L137" s="10">
        <f t="shared" si="13"/>
        <v>324304579310.3042</v>
      </c>
      <c r="M137" s="4">
        <f t="shared" si="14"/>
        <v>-8452016538.4384937</v>
      </c>
    </row>
    <row r="138" spans="1:13" x14ac:dyDescent="0.2">
      <c r="A138" s="1">
        <v>0</v>
      </c>
      <c r="B138">
        <v>4</v>
      </c>
      <c r="C138">
        <v>4</v>
      </c>
      <c r="D138">
        <v>13400000</v>
      </c>
      <c r="E138">
        <v>2016</v>
      </c>
      <c r="F138">
        <v>3331</v>
      </c>
      <c r="G138">
        <v>4023</v>
      </c>
      <c r="H138">
        <v>15</v>
      </c>
      <c r="I138" s="4">
        <f t="shared" si="10"/>
        <v>34263</v>
      </c>
      <c r="J138" s="6">
        <f t="shared" si="11"/>
        <v>10941566.2986221</v>
      </c>
      <c r="K138" s="8">
        <f t="shared" si="12"/>
        <v>-3316</v>
      </c>
      <c r="L138" s="10">
        <f t="shared" si="13"/>
        <v>330872964870.33228</v>
      </c>
      <c r="M138" s="4">
        <f t="shared" si="14"/>
        <v>-8768630428.6521702</v>
      </c>
    </row>
    <row r="139" spans="1:13" x14ac:dyDescent="0.2">
      <c r="A139" s="1">
        <v>0</v>
      </c>
      <c r="B139">
        <v>5</v>
      </c>
      <c r="C139">
        <v>5</v>
      </c>
      <c r="D139">
        <v>19000000</v>
      </c>
      <c r="E139">
        <v>2016</v>
      </c>
      <c r="F139">
        <v>4972</v>
      </c>
      <c r="G139">
        <v>3821</v>
      </c>
      <c r="H139">
        <v>15</v>
      </c>
      <c r="I139" s="4">
        <f t="shared" si="10"/>
        <v>34061</v>
      </c>
      <c r="J139" s="6">
        <f t="shared" si="11"/>
        <v>12696521.282532178</v>
      </c>
      <c r="K139" s="8">
        <f t="shared" si="12"/>
        <v>-4957</v>
      </c>
      <c r="L139" s="10">
        <f t="shared" si="13"/>
        <v>383942803583.77307</v>
      </c>
      <c r="M139" s="4">
        <f t="shared" si="14"/>
        <v>-21567023652.965084</v>
      </c>
    </row>
    <row r="140" spans="1:13" x14ac:dyDescent="0.2">
      <c r="A140" s="1">
        <v>0</v>
      </c>
      <c r="B140">
        <v>0</v>
      </c>
      <c r="C140">
        <v>1</v>
      </c>
      <c r="D140">
        <v>850000</v>
      </c>
      <c r="E140">
        <v>1924</v>
      </c>
      <c r="F140">
        <v>546</v>
      </c>
      <c r="G140">
        <v>1557</v>
      </c>
      <c r="H140">
        <v>10</v>
      </c>
      <c r="I140" s="4">
        <f t="shared" si="10"/>
        <v>20797</v>
      </c>
      <c r="J140" s="6">
        <f t="shared" si="11"/>
        <v>1142972.6074248007</v>
      </c>
      <c r="K140" s="8">
        <f t="shared" si="12"/>
        <v>-536</v>
      </c>
      <c r="L140" s="10">
        <f t="shared" si="13"/>
        <v>21990792966.853165</v>
      </c>
      <c r="M140" s="4">
        <f t="shared" si="14"/>
        <v>-5975520.8795994921</v>
      </c>
    </row>
    <row r="141" spans="1:13" x14ac:dyDescent="0.2">
      <c r="A141" s="1">
        <v>0</v>
      </c>
      <c r="B141">
        <v>7</v>
      </c>
      <c r="C141">
        <v>7</v>
      </c>
      <c r="D141">
        <v>19500000</v>
      </c>
      <c r="E141">
        <v>1994</v>
      </c>
      <c r="F141">
        <v>4238</v>
      </c>
      <c r="G141">
        <v>4601</v>
      </c>
      <c r="H141">
        <v>10</v>
      </c>
      <c r="I141" s="4">
        <f t="shared" si="10"/>
        <v>24541</v>
      </c>
      <c r="J141" s="6">
        <f t="shared" si="11"/>
        <v>9409869.4398257099</v>
      </c>
      <c r="K141" s="8">
        <f t="shared" si="12"/>
        <v>-4228</v>
      </c>
      <c r="L141" s="10">
        <f t="shared" si="13"/>
        <v>187632796630.12466</v>
      </c>
      <c r="M141" s="4">
        <f t="shared" si="14"/>
        <v>-9226341059.6779175</v>
      </c>
    </row>
    <row r="142" spans="1:13" x14ac:dyDescent="0.2">
      <c r="A142" s="1">
        <v>0</v>
      </c>
      <c r="B142">
        <v>1</v>
      </c>
      <c r="C142">
        <v>1</v>
      </c>
      <c r="D142">
        <v>1000000</v>
      </c>
      <c r="E142">
        <v>1912</v>
      </c>
      <c r="F142">
        <v>612</v>
      </c>
      <c r="G142">
        <v>1634</v>
      </c>
      <c r="H142">
        <v>18</v>
      </c>
      <c r="I142" s="4">
        <f t="shared" si="10"/>
        <v>36050</v>
      </c>
      <c r="J142" s="6">
        <f t="shared" si="11"/>
        <v>2285868.0456405017</v>
      </c>
      <c r="K142" s="8">
        <f t="shared" si="12"/>
        <v>-594</v>
      </c>
      <c r="L142" s="10">
        <f t="shared" si="13"/>
        <v>78670434658.763504</v>
      </c>
      <c r="M142" s="4">
        <f t="shared" si="14"/>
        <v>-27870782.209707882</v>
      </c>
    </row>
    <row r="143" spans="1:13" x14ac:dyDescent="0.2">
      <c r="A143" s="1">
        <v>0</v>
      </c>
      <c r="B143">
        <v>0</v>
      </c>
      <c r="C143">
        <v>1</v>
      </c>
      <c r="D143">
        <v>485000</v>
      </c>
      <c r="E143">
        <v>1902</v>
      </c>
      <c r="F143">
        <v>310</v>
      </c>
      <c r="G143">
        <v>1565</v>
      </c>
      <c r="H143">
        <v>23</v>
      </c>
      <c r="I143" s="4">
        <f t="shared" si="10"/>
        <v>45311</v>
      </c>
      <c r="J143" s="6">
        <f t="shared" si="11"/>
        <v>1991012.1628139031</v>
      </c>
      <c r="K143" s="8">
        <f t="shared" si="12"/>
        <v>-287</v>
      </c>
      <c r="L143" s="10">
        <f t="shared" si="13"/>
        <v>87098818074.457001</v>
      </c>
      <c r="M143" s="4">
        <f t="shared" si="14"/>
        <v>-7230811.8317720555</v>
      </c>
    </row>
    <row r="144" spans="1:13" x14ac:dyDescent="0.2">
      <c r="A144" s="1">
        <v>0</v>
      </c>
      <c r="B144">
        <v>3</v>
      </c>
      <c r="C144">
        <v>2</v>
      </c>
      <c r="D144">
        <v>7350000</v>
      </c>
      <c r="E144">
        <v>1999</v>
      </c>
      <c r="F144">
        <v>2075</v>
      </c>
      <c r="G144">
        <v>3542</v>
      </c>
      <c r="H144">
        <v>23</v>
      </c>
      <c r="I144" s="4">
        <f t="shared" si="10"/>
        <v>49519</v>
      </c>
      <c r="J144" s="6">
        <f t="shared" si="11"/>
        <v>11658329.661405209</v>
      </c>
      <c r="K144" s="8">
        <f t="shared" si="12"/>
        <v>-2052</v>
      </c>
      <c r="L144" s="10">
        <f t="shared" si="13"/>
        <v>536015022842.42731</v>
      </c>
      <c r="M144" s="4">
        <f t="shared" si="14"/>
        <v>-4821618227.6456099</v>
      </c>
    </row>
    <row r="145" spans="1:13" x14ac:dyDescent="0.2">
      <c r="A145" s="1">
        <v>0</v>
      </c>
      <c r="B145">
        <v>1</v>
      </c>
      <c r="C145">
        <v>1</v>
      </c>
      <c r="D145">
        <v>1200000</v>
      </c>
      <c r="E145">
        <v>1969</v>
      </c>
      <c r="F145">
        <v>600</v>
      </c>
      <c r="G145">
        <v>2000</v>
      </c>
      <c r="H145">
        <v>23</v>
      </c>
      <c r="I145" s="4">
        <f t="shared" si="10"/>
        <v>47287</v>
      </c>
      <c r="J145" s="6">
        <f t="shared" si="11"/>
        <v>3539845.8089267109</v>
      </c>
      <c r="K145" s="8">
        <f t="shared" si="12"/>
        <v>-577</v>
      </c>
      <c r="L145" s="10">
        <f t="shared" si="13"/>
        <v>160308997148.86395</v>
      </c>
      <c r="M145" s="4">
        <f t="shared" si="14"/>
        <v>-66201239.277809516</v>
      </c>
    </row>
    <row r="146" spans="1:13" x14ac:dyDescent="0.2">
      <c r="A146" s="1">
        <v>0</v>
      </c>
      <c r="B146">
        <v>2</v>
      </c>
      <c r="C146">
        <v>2</v>
      </c>
      <c r="D146">
        <v>4250000</v>
      </c>
      <c r="E146">
        <v>2011</v>
      </c>
      <c r="F146">
        <v>1504</v>
      </c>
      <c r="G146">
        <v>2826</v>
      </c>
      <c r="H146">
        <v>23</v>
      </c>
      <c r="I146" s="4">
        <f t="shared" si="10"/>
        <v>49079</v>
      </c>
      <c r="J146" s="6">
        <f t="shared" si="11"/>
        <v>7919081.269294112</v>
      </c>
      <c r="K146" s="8">
        <f t="shared" si="12"/>
        <v>-1481</v>
      </c>
      <c r="L146" s="10">
        <f t="shared" si="13"/>
        <v>366281265948.66058</v>
      </c>
      <c r="M146" s="4">
        <f t="shared" si="14"/>
        <v>-1375022668.7950201</v>
      </c>
    </row>
    <row r="147" spans="1:13" x14ac:dyDescent="0.2">
      <c r="A147" s="1">
        <v>0</v>
      </c>
      <c r="B147">
        <v>2</v>
      </c>
      <c r="C147">
        <v>2</v>
      </c>
      <c r="D147">
        <v>3600000</v>
      </c>
      <c r="E147">
        <v>1960</v>
      </c>
      <c r="F147">
        <v>1340</v>
      </c>
      <c r="G147">
        <v>2687</v>
      </c>
      <c r="H147">
        <v>24</v>
      </c>
      <c r="I147" s="4">
        <f t="shared" si="10"/>
        <v>49727</v>
      </c>
      <c r="J147" s="6">
        <f t="shared" si="11"/>
        <v>7416213.0164592583</v>
      </c>
      <c r="K147" s="8">
        <f t="shared" si="12"/>
        <v>-1316</v>
      </c>
      <c r="L147" s="10">
        <f t="shared" si="13"/>
        <v>348858660294.24353</v>
      </c>
      <c r="M147" s="4">
        <f t="shared" si="14"/>
        <v>-985732468.22222662</v>
      </c>
    </row>
    <row r="148" spans="1:13" x14ac:dyDescent="0.2">
      <c r="A148" s="1">
        <v>0</v>
      </c>
      <c r="B148">
        <v>2</v>
      </c>
      <c r="C148">
        <v>2</v>
      </c>
      <c r="D148">
        <v>3600000</v>
      </c>
      <c r="E148">
        <v>1960</v>
      </c>
      <c r="F148">
        <v>1340</v>
      </c>
      <c r="G148">
        <v>2687</v>
      </c>
      <c r="H148">
        <v>24</v>
      </c>
      <c r="I148" s="4">
        <f t="shared" si="10"/>
        <v>49727</v>
      </c>
      <c r="J148" s="6">
        <f t="shared" si="11"/>
        <v>7416213.0164592583</v>
      </c>
      <c r="K148" s="8">
        <f t="shared" si="12"/>
        <v>-1316</v>
      </c>
      <c r="L148" s="10">
        <f t="shared" si="13"/>
        <v>348858660294.24353</v>
      </c>
      <c r="M148" s="4">
        <f t="shared" si="14"/>
        <v>-985732468.22222662</v>
      </c>
    </row>
    <row r="149" spans="1:13" x14ac:dyDescent="0.2">
      <c r="A149" s="1">
        <v>0</v>
      </c>
      <c r="B149">
        <v>1</v>
      </c>
      <c r="C149">
        <v>1</v>
      </c>
      <c r="D149">
        <v>525000</v>
      </c>
      <c r="E149">
        <v>1924</v>
      </c>
      <c r="F149">
        <v>700</v>
      </c>
      <c r="G149">
        <v>750</v>
      </c>
      <c r="H149">
        <v>24</v>
      </c>
      <c r="I149" s="4">
        <f t="shared" si="10"/>
        <v>46926</v>
      </c>
      <c r="J149" s="6">
        <f t="shared" si="11"/>
        <v>1496140.6173912932</v>
      </c>
      <c r="K149" s="8">
        <f t="shared" si="12"/>
        <v>-676</v>
      </c>
      <c r="L149" s="10">
        <f t="shared" si="13"/>
        <v>69085789148.660355</v>
      </c>
      <c r="M149" s="4">
        <f t="shared" si="14"/>
        <v>-14623316.679453617</v>
      </c>
    </row>
    <row r="150" spans="1:13" x14ac:dyDescent="0.2">
      <c r="A150" s="1">
        <v>0</v>
      </c>
      <c r="B150">
        <v>0</v>
      </c>
      <c r="C150">
        <v>1</v>
      </c>
      <c r="D150">
        <v>545000</v>
      </c>
      <c r="E150">
        <v>1900</v>
      </c>
      <c r="F150">
        <v>387</v>
      </c>
      <c r="G150">
        <v>1408</v>
      </c>
      <c r="H150">
        <v>10</v>
      </c>
      <c r="I150" s="4">
        <f t="shared" si="10"/>
        <v>20408</v>
      </c>
      <c r="J150" s="6">
        <f t="shared" si="11"/>
        <v>870179.85618208826</v>
      </c>
      <c r="K150" s="8">
        <f t="shared" si="12"/>
        <v>-377</v>
      </c>
      <c r="L150" s="10">
        <f t="shared" si="13"/>
        <v>16533417267.459677</v>
      </c>
      <c r="M150" s="4">
        <f t="shared" si="14"/>
        <v>-2026056.9186455254</v>
      </c>
    </row>
    <row r="151" spans="1:13" x14ac:dyDescent="0.2">
      <c r="A151" s="1">
        <v>0</v>
      </c>
      <c r="B151">
        <v>1</v>
      </c>
      <c r="C151">
        <v>1</v>
      </c>
      <c r="D151">
        <v>535000</v>
      </c>
      <c r="E151">
        <v>1900</v>
      </c>
      <c r="F151">
        <v>450</v>
      </c>
      <c r="G151">
        <v>1189</v>
      </c>
      <c r="H151">
        <v>10</v>
      </c>
      <c r="I151" s="4">
        <f t="shared" si="10"/>
        <v>20189</v>
      </c>
      <c r="J151" s="6">
        <f t="shared" si="11"/>
        <v>792390.02496877708</v>
      </c>
      <c r="K151" s="8">
        <f t="shared" si="12"/>
        <v>-440</v>
      </c>
      <c r="L151" s="10">
        <f t="shared" si="13"/>
        <v>15055410474.406765</v>
      </c>
      <c r="M151" s="4">
        <f t="shared" si="14"/>
        <v>-2113733.4596281596</v>
      </c>
    </row>
    <row r="152" spans="1:13" x14ac:dyDescent="0.2">
      <c r="A152" s="1">
        <v>0</v>
      </c>
      <c r="B152">
        <v>4</v>
      </c>
      <c r="C152">
        <v>4</v>
      </c>
      <c r="D152">
        <v>5500000</v>
      </c>
      <c r="E152">
        <v>1923</v>
      </c>
      <c r="F152">
        <v>3200</v>
      </c>
      <c r="G152">
        <v>1719</v>
      </c>
      <c r="H152">
        <v>21</v>
      </c>
      <c r="I152" s="4">
        <f t="shared" si="10"/>
        <v>42102</v>
      </c>
      <c r="J152" s="6">
        <f t="shared" si="11"/>
        <v>6415360.2492509969</v>
      </c>
      <c r="K152" s="8">
        <f t="shared" si="12"/>
        <v>-3179</v>
      </c>
      <c r="L152" s="10">
        <f t="shared" si="13"/>
        <v>259071492945.50302</v>
      </c>
      <c r="M152" s="4">
        <f t="shared" si="14"/>
        <v>-2701618416.6456418</v>
      </c>
    </row>
    <row r="153" spans="1:13" x14ac:dyDescent="0.2">
      <c r="A153" s="1">
        <v>0</v>
      </c>
      <c r="B153">
        <v>4</v>
      </c>
      <c r="C153">
        <v>5</v>
      </c>
      <c r="D153">
        <v>12000000</v>
      </c>
      <c r="E153">
        <v>1939</v>
      </c>
      <c r="F153">
        <v>3700</v>
      </c>
      <c r="G153">
        <v>3243</v>
      </c>
      <c r="H153">
        <v>22</v>
      </c>
      <c r="I153" s="4">
        <f t="shared" si="10"/>
        <v>45901</v>
      </c>
      <c r="J153" s="6">
        <f t="shared" si="11"/>
        <v>13633940.042688811</v>
      </c>
      <c r="K153" s="8">
        <f t="shared" si="12"/>
        <v>-3678</v>
      </c>
      <c r="L153" s="10">
        <f t="shared" si="13"/>
        <v>581596614341.01929</v>
      </c>
      <c r="M153" s="4">
        <f t="shared" si="14"/>
        <v>-15309676134.307756</v>
      </c>
    </row>
    <row r="154" spans="1:13" x14ac:dyDescent="0.2">
      <c r="A154" s="1">
        <v>0</v>
      </c>
      <c r="B154">
        <v>1</v>
      </c>
      <c r="C154">
        <v>2</v>
      </c>
      <c r="D154">
        <v>1850000</v>
      </c>
      <c r="E154">
        <v>2007</v>
      </c>
      <c r="F154">
        <v>839</v>
      </c>
      <c r="G154">
        <v>2205</v>
      </c>
      <c r="H154">
        <v>23</v>
      </c>
      <c r="I154" s="4">
        <f t="shared" si="10"/>
        <v>48366</v>
      </c>
      <c r="J154" s="6">
        <f t="shared" si="11"/>
        <v>4614963.7973419446</v>
      </c>
      <c r="K154" s="8">
        <f t="shared" si="12"/>
        <v>-816</v>
      </c>
      <c r="L154" s="10">
        <f t="shared" si="13"/>
        <v>213031343849.10153</v>
      </c>
      <c r="M154" s="4">
        <f t="shared" si="14"/>
        <v>-191803512.92606273</v>
      </c>
    </row>
    <row r="155" spans="1:13" x14ac:dyDescent="0.2">
      <c r="A155" s="1">
        <v>0</v>
      </c>
      <c r="B155">
        <v>1</v>
      </c>
      <c r="C155">
        <v>1</v>
      </c>
      <c r="D155">
        <v>535000</v>
      </c>
      <c r="E155">
        <v>1900</v>
      </c>
      <c r="F155">
        <v>450</v>
      </c>
      <c r="G155">
        <v>1189</v>
      </c>
      <c r="H155">
        <v>27</v>
      </c>
      <c r="I155" s="4">
        <f t="shared" si="10"/>
        <v>52489</v>
      </c>
      <c r="J155" s="6">
        <f t="shared" si="11"/>
        <v>2139453.067415698</v>
      </c>
      <c r="K155" s="8">
        <f t="shared" si="12"/>
        <v>-423</v>
      </c>
      <c r="L155" s="10">
        <f t="shared" si="13"/>
        <v>109753942358.42531</v>
      </c>
      <c r="M155" s="4">
        <f t="shared" si="14"/>
        <v>-14813764.676026287</v>
      </c>
    </row>
    <row r="156" spans="1:13" x14ac:dyDescent="0.2">
      <c r="A156" s="1">
        <v>0</v>
      </c>
      <c r="B156">
        <v>2</v>
      </c>
      <c r="C156">
        <v>2</v>
      </c>
      <c r="D156">
        <v>1350000</v>
      </c>
      <c r="E156">
        <v>1931</v>
      </c>
      <c r="F156">
        <v>1300</v>
      </c>
      <c r="G156">
        <v>1038</v>
      </c>
      <c r="H156">
        <v>36</v>
      </c>
      <c r="I156" s="4">
        <f t="shared" si="10"/>
        <v>70554</v>
      </c>
      <c r="J156" s="6">
        <f t="shared" si="11"/>
        <v>4232748.0537732886</v>
      </c>
      <c r="K156" s="8">
        <f t="shared" si="12"/>
        <v>-1264</v>
      </c>
      <c r="L156" s="10">
        <f t="shared" si="13"/>
        <v>294243713706.10394</v>
      </c>
      <c r="M156" s="4">
        <f t="shared" si="14"/>
        <v>-299460260.90932822</v>
      </c>
    </row>
    <row r="157" spans="1:13" x14ac:dyDescent="0.2">
      <c r="A157" s="1">
        <v>0</v>
      </c>
      <c r="B157">
        <v>1</v>
      </c>
      <c r="C157">
        <v>1</v>
      </c>
      <c r="D157">
        <v>779000</v>
      </c>
      <c r="E157">
        <v>1902</v>
      </c>
      <c r="F157">
        <v>700</v>
      </c>
      <c r="G157">
        <v>1113</v>
      </c>
      <c r="H157">
        <v>10</v>
      </c>
      <c r="I157" s="4">
        <f t="shared" si="10"/>
        <v>20133</v>
      </c>
      <c r="J157" s="6">
        <f t="shared" si="11"/>
        <v>925113.61508694966</v>
      </c>
      <c r="K157" s="8">
        <f t="shared" si="12"/>
        <v>-690</v>
      </c>
      <c r="L157" s="10">
        <f t="shared" si="13"/>
        <v>17595660958.953785</v>
      </c>
      <c r="M157" s="4">
        <f t="shared" si="14"/>
        <v>-5640833.7037374498</v>
      </c>
    </row>
    <row r="158" spans="1:13" x14ac:dyDescent="0.2">
      <c r="A158" s="1">
        <v>0</v>
      </c>
      <c r="B158">
        <v>2</v>
      </c>
      <c r="C158">
        <v>1</v>
      </c>
      <c r="D158">
        <v>1475000</v>
      </c>
      <c r="E158">
        <v>1973</v>
      </c>
      <c r="F158">
        <v>971</v>
      </c>
      <c r="G158">
        <v>1519</v>
      </c>
      <c r="H158">
        <v>10</v>
      </c>
      <c r="I158" s="4">
        <f t="shared" si="10"/>
        <v>21249</v>
      </c>
      <c r="J158" s="6">
        <f t="shared" si="11"/>
        <v>1487025.0243013657</v>
      </c>
      <c r="K158" s="8">
        <f t="shared" si="12"/>
        <v>-961</v>
      </c>
      <c r="L158" s="10">
        <f t="shared" si="13"/>
        <v>29339003729.465946</v>
      </c>
      <c r="M158" s="4">
        <f t="shared" si="14"/>
        <v>-24803440.900659293</v>
      </c>
    </row>
    <row r="159" spans="1:13" x14ac:dyDescent="0.2">
      <c r="A159" s="1">
        <v>0</v>
      </c>
      <c r="B159">
        <v>2</v>
      </c>
      <c r="C159">
        <v>2</v>
      </c>
      <c r="D159">
        <v>1385000</v>
      </c>
      <c r="E159">
        <v>1971</v>
      </c>
      <c r="F159">
        <v>962</v>
      </c>
      <c r="G159">
        <v>1440</v>
      </c>
      <c r="H159">
        <v>10</v>
      </c>
      <c r="I159" s="4">
        <f t="shared" si="10"/>
        <v>21150</v>
      </c>
      <c r="J159" s="6">
        <f t="shared" si="11"/>
        <v>1403139.7122157789</v>
      </c>
      <c r="K159" s="8">
        <f t="shared" si="12"/>
        <v>-952</v>
      </c>
      <c r="L159" s="10">
        <f t="shared" si="13"/>
        <v>27655883727.773003</v>
      </c>
      <c r="M159" s="4">
        <f t="shared" si="14"/>
        <v>-21748305.522778332</v>
      </c>
    </row>
    <row r="160" spans="1:13" x14ac:dyDescent="0.2">
      <c r="A160" s="1">
        <v>0</v>
      </c>
      <c r="B160">
        <v>1</v>
      </c>
      <c r="C160">
        <v>1</v>
      </c>
      <c r="D160">
        <v>779000</v>
      </c>
      <c r="E160">
        <v>1902</v>
      </c>
      <c r="F160">
        <v>700</v>
      </c>
      <c r="G160">
        <v>1113</v>
      </c>
      <c r="H160">
        <v>13</v>
      </c>
      <c r="I160" s="4">
        <f t="shared" si="10"/>
        <v>25839</v>
      </c>
      <c r="J160" s="6">
        <f t="shared" si="11"/>
        <v>1202647.6996130345</v>
      </c>
      <c r="K160" s="8">
        <f t="shared" si="12"/>
        <v>-687</v>
      </c>
      <c r="L160" s="10">
        <f t="shared" si="13"/>
        <v>29736667020.631889</v>
      </c>
      <c r="M160" s="4">
        <f t="shared" si="14"/>
        <v>-9491561.0942757837</v>
      </c>
    </row>
    <row r="161" spans="1:13" x14ac:dyDescent="0.2">
      <c r="A161" s="1">
        <v>0</v>
      </c>
      <c r="B161">
        <v>1</v>
      </c>
      <c r="C161">
        <v>1</v>
      </c>
      <c r="D161">
        <v>649000</v>
      </c>
      <c r="E161">
        <v>1929</v>
      </c>
      <c r="F161">
        <v>800</v>
      </c>
      <c r="G161">
        <v>811</v>
      </c>
      <c r="H161">
        <v>25</v>
      </c>
      <c r="I161" s="4">
        <f t="shared" si="10"/>
        <v>49036</v>
      </c>
      <c r="J161" s="6">
        <f t="shared" si="11"/>
        <v>1801593.2443220583</v>
      </c>
      <c r="K161" s="8">
        <f t="shared" si="12"/>
        <v>-775</v>
      </c>
      <c r="L161" s="10">
        <f t="shared" si="13"/>
        <v>86881834207.431259</v>
      </c>
      <c r="M161" s="4">
        <f t="shared" si="14"/>
        <v>-26063128.377955429</v>
      </c>
    </row>
    <row r="162" spans="1:13" x14ac:dyDescent="0.2">
      <c r="A162" s="1">
        <v>0</v>
      </c>
      <c r="B162">
        <v>0</v>
      </c>
      <c r="C162">
        <v>1</v>
      </c>
      <c r="D162">
        <v>725000</v>
      </c>
      <c r="E162">
        <v>1960</v>
      </c>
      <c r="F162">
        <v>600</v>
      </c>
      <c r="G162">
        <v>1208</v>
      </c>
      <c r="H162">
        <v>26</v>
      </c>
      <c r="I162" s="4">
        <f t="shared" si="10"/>
        <v>52168</v>
      </c>
      <c r="J162" s="6">
        <f t="shared" si="11"/>
        <v>2416945.1557993507</v>
      </c>
      <c r="K162" s="8">
        <f t="shared" si="12"/>
        <v>-574</v>
      </c>
      <c r="L162" s="10">
        <f t="shared" si="13"/>
        <v>123167525139.53493</v>
      </c>
      <c r="M162" s="4">
        <f t="shared" si="14"/>
        <v>-30570129.393498041</v>
      </c>
    </row>
    <row r="163" spans="1:13" x14ac:dyDescent="0.2">
      <c r="A163" s="1">
        <v>0</v>
      </c>
      <c r="B163">
        <v>2</v>
      </c>
      <c r="C163">
        <v>1</v>
      </c>
      <c r="D163">
        <v>925000</v>
      </c>
      <c r="E163">
        <v>1941</v>
      </c>
      <c r="F163">
        <v>790</v>
      </c>
      <c r="G163">
        <v>1171</v>
      </c>
      <c r="H163">
        <v>27</v>
      </c>
      <c r="I163" s="4">
        <f t="shared" si="10"/>
        <v>53578</v>
      </c>
      <c r="J163" s="6">
        <f t="shared" si="11"/>
        <v>2791805.0798339373</v>
      </c>
      <c r="K163" s="8">
        <f t="shared" si="12"/>
        <v>-763</v>
      </c>
      <c r="L163" s="10">
        <f t="shared" si="13"/>
        <v>146310128818.85715</v>
      </c>
      <c r="M163" s="4">
        <f t="shared" si="14"/>
        <v>-61587393.791049339</v>
      </c>
    </row>
    <row r="164" spans="1:13" x14ac:dyDescent="0.2">
      <c r="A164" s="1">
        <v>0</v>
      </c>
      <c r="B164">
        <v>1</v>
      </c>
      <c r="C164">
        <v>1</v>
      </c>
      <c r="D164">
        <v>965000</v>
      </c>
      <c r="E164">
        <v>1961</v>
      </c>
      <c r="F164">
        <v>787</v>
      </c>
      <c r="G164">
        <v>1226</v>
      </c>
      <c r="H164">
        <v>27</v>
      </c>
      <c r="I164" s="4">
        <f t="shared" si="10"/>
        <v>54173</v>
      </c>
      <c r="J164" s="6">
        <f t="shared" si="11"/>
        <v>2917376.5569081358</v>
      </c>
      <c r="K164" s="8">
        <f t="shared" si="12"/>
        <v>-760</v>
      </c>
      <c r="L164" s="10">
        <f t="shared" si="13"/>
        <v>154466336558.61505</v>
      </c>
      <c r="M164" s="4">
        <f t="shared" si="14"/>
        <v>-67565643.159954622</v>
      </c>
    </row>
    <row r="165" spans="1:13" x14ac:dyDescent="0.2">
      <c r="A165" s="1">
        <v>0</v>
      </c>
      <c r="B165">
        <v>2</v>
      </c>
      <c r="C165">
        <v>1</v>
      </c>
      <c r="D165">
        <v>1250000</v>
      </c>
      <c r="E165">
        <v>1922</v>
      </c>
      <c r="F165">
        <v>1145</v>
      </c>
      <c r="G165">
        <v>1092</v>
      </c>
      <c r="H165">
        <v>30</v>
      </c>
      <c r="I165" s="4">
        <f t="shared" si="10"/>
        <v>58752</v>
      </c>
      <c r="J165" s="6">
        <f t="shared" si="11"/>
        <v>3482551.317128568</v>
      </c>
      <c r="K165" s="8">
        <f t="shared" si="12"/>
        <v>-1115</v>
      </c>
      <c r="L165" s="10">
        <f t="shared" si="13"/>
        <v>200803908945.63324</v>
      </c>
      <c r="M165" s="4">
        <f t="shared" si="14"/>
        <v>-166919934.67843395</v>
      </c>
    </row>
    <row r="166" spans="1:13" x14ac:dyDescent="0.2">
      <c r="A166" s="1">
        <v>0</v>
      </c>
      <c r="B166">
        <v>1</v>
      </c>
      <c r="C166">
        <v>1</v>
      </c>
      <c r="D166">
        <v>650000</v>
      </c>
      <c r="E166">
        <v>1907</v>
      </c>
      <c r="F166">
        <v>720</v>
      </c>
      <c r="G166">
        <v>903</v>
      </c>
      <c r="H166">
        <v>32</v>
      </c>
      <c r="I166" s="4">
        <f t="shared" si="10"/>
        <v>61927</v>
      </c>
      <c r="J166" s="6">
        <f t="shared" si="11"/>
        <v>2435874.2537381165</v>
      </c>
      <c r="K166" s="8">
        <f t="shared" si="12"/>
        <v>-688</v>
      </c>
      <c r="L166" s="10">
        <f t="shared" si="13"/>
        <v>148646790460.11481</v>
      </c>
      <c r="M166" s="4">
        <f t="shared" si="14"/>
        <v>-39646832.345642298</v>
      </c>
    </row>
    <row r="167" spans="1:13" x14ac:dyDescent="0.2">
      <c r="A167" s="1">
        <v>0</v>
      </c>
      <c r="B167">
        <v>2</v>
      </c>
      <c r="C167">
        <v>1</v>
      </c>
      <c r="D167">
        <v>385000</v>
      </c>
      <c r="E167">
        <v>1999</v>
      </c>
      <c r="F167">
        <v>820</v>
      </c>
      <c r="G167">
        <v>470</v>
      </c>
      <c r="H167">
        <v>8</v>
      </c>
      <c r="I167" s="4">
        <f t="shared" si="10"/>
        <v>16462</v>
      </c>
      <c r="J167" s="6">
        <f t="shared" si="11"/>
        <v>338256.11722596519</v>
      </c>
      <c r="K167" s="8">
        <f t="shared" si="12"/>
        <v>-812</v>
      </c>
      <c r="L167" s="10">
        <f t="shared" si="13"/>
        <v>5409391826.6776352</v>
      </c>
      <c r="M167" s="4">
        <f t="shared" si="14"/>
        <v>-1008593.9580269008</v>
      </c>
    </row>
    <row r="168" spans="1:13" x14ac:dyDescent="0.2">
      <c r="A168" s="1">
        <v>0</v>
      </c>
      <c r="B168">
        <v>2</v>
      </c>
      <c r="C168">
        <v>2</v>
      </c>
      <c r="D168">
        <v>1695000</v>
      </c>
      <c r="E168">
        <v>2012</v>
      </c>
      <c r="F168">
        <v>1051</v>
      </c>
      <c r="G168">
        <v>1613</v>
      </c>
      <c r="H168">
        <v>16</v>
      </c>
      <c r="I168" s="4">
        <f t="shared" si="10"/>
        <v>33805</v>
      </c>
      <c r="J168" s="6">
        <f t="shared" si="11"/>
        <v>2628491.6173154768</v>
      </c>
      <c r="K168" s="8">
        <f t="shared" si="12"/>
        <v>-1035</v>
      </c>
      <c r="L168" s="10">
        <f t="shared" si="13"/>
        <v>84616402144.619827</v>
      </c>
      <c r="M168" s="4">
        <f t="shared" si="14"/>
        <v>-88535158.810975239</v>
      </c>
    </row>
    <row r="169" spans="1:13" x14ac:dyDescent="0.2">
      <c r="A169" s="1">
        <v>0</v>
      </c>
      <c r="B169">
        <v>1</v>
      </c>
      <c r="C169">
        <v>1</v>
      </c>
      <c r="D169">
        <v>600000</v>
      </c>
      <c r="E169">
        <v>1899</v>
      </c>
      <c r="F169">
        <v>1060</v>
      </c>
      <c r="G169">
        <v>566</v>
      </c>
      <c r="H169">
        <v>8</v>
      </c>
      <c r="I169" s="4">
        <f t="shared" si="10"/>
        <v>15758</v>
      </c>
      <c r="J169" s="6">
        <f t="shared" si="11"/>
        <v>463137.81145830511</v>
      </c>
      <c r="K169" s="8">
        <f t="shared" si="12"/>
        <v>-1052</v>
      </c>
      <c r="L169" s="10">
        <f t="shared" si="13"/>
        <v>7035989631.674571</v>
      </c>
      <c r="M169" s="4">
        <f t="shared" si="14"/>
        <v>-2648764.480454402</v>
      </c>
    </row>
    <row r="170" spans="1:13" x14ac:dyDescent="0.2">
      <c r="A170" s="1">
        <v>0</v>
      </c>
      <c r="B170">
        <v>2</v>
      </c>
      <c r="C170">
        <v>1</v>
      </c>
      <c r="D170">
        <v>910000</v>
      </c>
      <c r="E170">
        <v>1899</v>
      </c>
      <c r="F170">
        <v>1060</v>
      </c>
      <c r="G170">
        <v>858</v>
      </c>
      <c r="H170">
        <v>8</v>
      </c>
      <c r="I170" s="4">
        <f t="shared" si="10"/>
        <v>16050</v>
      </c>
      <c r="J170" s="6">
        <f t="shared" si="11"/>
        <v>702071.09934845543</v>
      </c>
      <c r="K170" s="8">
        <f t="shared" si="12"/>
        <v>-1052</v>
      </c>
      <c r="L170" s="10">
        <f t="shared" si="13"/>
        <v>10665864141.301735</v>
      </c>
      <c r="M170" s="4">
        <f t="shared" si="14"/>
        <v>-6089818.4070941946</v>
      </c>
    </row>
    <row r="171" spans="1:13" x14ac:dyDescent="0.2">
      <c r="A171" s="1">
        <v>0</v>
      </c>
      <c r="B171">
        <v>8</v>
      </c>
      <c r="C171">
        <v>7</v>
      </c>
      <c r="D171">
        <v>2300000</v>
      </c>
      <c r="E171">
        <v>1910</v>
      </c>
      <c r="F171">
        <v>4180</v>
      </c>
      <c r="G171">
        <v>550</v>
      </c>
      <c r="H171">
        <v>9</v>
      </c>
      <c r="I171" s="4">
        <f t="shared" si="10"/>
        <v>17740</v>
      </c>
      <c r="J171" s="6">
        <f t="shared" si="11"/>
        <v>1005412.3789261557</v>
      </c>
      <c r="K171" s="8">
        <f t="shared" si="12"/>
        <v>-4171</v>
      </c>
      <c r="L171" s="10">
        <f t="shared" si="13"/>
        <v>17283038793.740616</v>
      </c>
      <c r="M171" s="4">
        <f t="shared" si="14"/>
        <v>-98887020.941682816</v>
      </c>
    </row>
    <row r="172" spans="1:13" x14ac:dyDescent="0.2">
      <c r="A172" s="1">
        <v>0</v>
      </c>
      <c r="B172">
        <v>1</v>
      </c>
      <c r="C172">
        <v>1</v>
      </c>
      <c r="D172">
        <v>600000</v>
      </c>
      <c r="E172">
        <v>1899</v>
      </c>
      <c r="F172">
        <v>1060</v>
      </c>
      <c r="G172">
        <v>566</v>
      </c>
      <c r="H172">
        <v>10</v>
      </c>
      <c r="I172" s="4">
        <f t="shared" si="10"/>
        <v>19556</v>
      </c>
      <c r="J172" s="6">
        <f t="shared" si="11"/>
        <v>578922.26432288147</v>
      </c>
      <c r="K172" s="8">
        <f t="shared" si="12"/>
        <v>-1050</v>
      </c>
      <c r="L172" s="10">
        <f t="shared" si="13"/>
        <v>10993733799.49152</v>
      </c>
      <c r="M172" s="4">
        <f t="shared" si="14"/>
        <v>-4130826.2602143586</v>
      </c>
    </row>
    <row r="173" spans="1:13" x14ac:dyDescent="0.2">
      <c r="A173" s="1">
        <v>0</v>
      </c>
      <c r="B173">
        <v>2</v>
      </c>
      <c r="C173">
        <v>1</v>
      </c>
      <c r="D173">
        <v>910000</v>
      </c>
      <c r="E173">
        <v>1899</v>
      </c>
      <c r="F173">
        <v>1060</v>
      </c>
      <c r="G173">
        <v>858</v>
      </c>
      <c r="H173">
        <v>10</v>
      </c>
      <c r="I173" s="4">
        <f t="shared" si="10"/>
        <v>19848</v>
      </c>
      <c r="J173" s="6">
        <f t="shared" si="11"/>
        <v>877588.87418556935</v>
      </c>
      <c r="K173" s="8">
        <f t="shared" si="12"/>
        <v>-1050</v>
      </c>
      <c r="L173" s="10">
        <f t="shared" si="13"/>
        <v>16665412720.78396</v>
      </c>
      <c r="M173" s="4">
        <f t="shared" si="14"/>
        <v>-9497251.2586871777</v>
      </c>
    </row>
    <row r="174" spans="1:13" x14ac:dyDescent="0.2">
      <c r="A174" s="1">
        <v>0</v>
      </c>
      <c r="B174">
        <v>2</v>
      </c>
      <c r="C174">
        <v>2</v>
      </c>
      <c r="D174">
        <v>1599000</v>
      </c>
      <c r="E174">
        <v>1973</v>
      </c>
      <c r="F174">
        <v>1400</v>
      </c>
      <c r="G174">
        <v>1142</v>
      </c>
      <c r="H174">
        <v>10</v>
      </c>
      <c r="I174" s="4">
        <f t="shared" si="10"/>
        <v>20872</v>
      </c>
      <c r="J174" s="6">
        <f t="shared" si="11"/>
        <v>1342397.1146462054</v>
      </c>
      <c r="K174" s="8">
        <f t="shared" si="12"/>
        <v>-1390</v>
      </c>
      <c r="L174" s="10">
        <f t="shared" si="13"/>
        <v>26485495071.969635</v>
      </c>
      <c r="M174" s="4">
        <f t="shared" si="14"/>
        <v>-35109328.417120852</v>
      </c>
    </row>
    <row r="175" spans="1:13" x14ac:dyDescent="0.2">
      <c r="A175" s="1">
        <v>0</v>
      </c>
      <c r="B175">
        <v>2</v>
      </c>
      <c r="C175">
        <v>2</v>
      </c>
      <c r="D175">
        <v>4625000</v>
      </c>
      <c r="E175">
        <v>1987</v>
      </c>
      <c r="F175">
        <v>1695</v>
      </c>
      <c r="G175">
        <v>2729</v>
      </c>
      <c r="H175">
        <v>10</v>
      </c>
      <c r="I175" s="4">
        <f t="shared" si="10"/>
        <v>22599</v>
      </c>
      <c r="J175" s="6">
        <f t="shared" si="11"/>
        <v>3529712.0307524763</v>
      </c>
      <c r="K175" s="8">
        <f t="shared" si="12"/>
        <v>-1685</v>
      </c>
      <c r="L175" s="10">
        <f t="shared" si="13"/>
        <v>70135378051.051697</v>
      </c>
      <c r="M175" s="4">
        <f t="shared" si="14"/>
        <v>-325986749.531932</v>
      </c>
    </row>
    <row r="176" spans="1:13" x14ac:dyDescent="0.2">
      <c r="A176" s="1">
        <v>0</v>
      </c>
      <c r="B176">
        <v>0</v>
      </c>
      <c r="C176">
        <v>1</v>
      </c>
      <c r="D176">
        <v>325000</v>
      </c>
      <c r="E176">
        <v>1910</v>
      </c>
      <c r="F176">
        <v>375</v>
      </c>
      <c r="G176">
        <v>867</v>
      </c>
      <c r="H176">
        <v>11</v>
      </c>
      <c r="I176" s="4">
        <f t="shared" si="10"/>
        <v>21877</v>
      </c>
      <c r="J176" s="6">
        <f t="shared" si="11"/>
        <v>580200.77525003033</v>
      </c>
      <c r="K176" s="8">
        <f t="shared" si="12"/>
        <v>-364</v>
      </c>
      <c r="L176" s="10">
        <f t="shared" si="13"/>
        <v>12190018288.003138</v>
      </c>
      <c r="M176" s="4">
        <f t="shared" si="14"/>
        <v>-860082.80405405455</v>
      </c>
    </row>
    <row r="177" spans="1:13" x14ac:dyDescent="0.2">
      <c r="A177" s="1">
        <v>0</v>
      </c>
      <c r="B177">
        <v>2</v>
      </c>
      <c r="C177">
        <v>2</v>
      </c>
      <c r="D177">
        <v>1599000</v>
      </c>
      <c r="E177">
        <v>1973</v>
      </c>
      <c r="F177">
        <v>1400</v>
      </c>
      <c r="G177">
        <v>1142</v>
      </c>
      <c r="H177">
        <v>14</v>
      </c>
      <c r="I177" s="4">
        <f t="shared" si="10"/>
        <v>28764</v>
      </c>
      <c r="J177" s="6">
        <f t="shared" si="11"/>
        <v>1879355.9605046876</v>
      </c>
      <c r="K177" s="8">
        <f t="shared" si="12"/>
        <v>-1386</v>
      </c>
      <c r="L177" s="10">
        <f t="shared" si="13"/>
        <v>51911570341.060486</v>
      </c>
      <c r="M177" s="4">
        <f t="shared" si="14"/>
        <v>-68616256.981880456</v>
      </c>
    </row>
    <row r="178" spans="1:13" x14ac:dyDescent="0.2">
      <c r="A178" s="1">
        <v>0</v>
      </c>
      <c r="B178">
        <v>2</v>
      </c>
      <c r="C178">
        <v>2</v>
      </c>
      <c r="D178">
        <v>1965000</v>
      </c>
      <c r="E178">
        <v>2005</v>
      </c>
      <c r="F178">
        <v>1330</v>
      </c>
      <c r="G178">
        <v>1477</v>
      </c>
      <c r="H178">
        <v>16</v>
      </c>
      <c r="I178" s="4">
        <f t="shared" si="10"/>
        <v>33557</v>
      </c>
      <c r="J178" s="6">
        <f t="shared" si="11"/>
        <v>2707554.3720287583</v>
      </c>
      <c r="K178" s="8">
        <f t="shared" si="12"/>
        <v>-1314</v>
      </c>
      <c r="L178" s="10">
        <f t="shared" si="13"/>
        <v>86858344254.682571</v>
      </c>
      <c r="M178" s="4">
        <f t="shared" si="14"/>
        <v>-133758265.73467493</v>
      </c>
    </row>
    <row r="179" spans="1:13" x14ac:dyDescent="0.2">
      <c r="A179" s="1">
        <v>0</v>
      </c>
      <c r="B179">
        <v>1</v>
      </c>
      <c r="C179">
        <v>1</v>
      </c>
      <c r="D179">
        <v>735000</v>
      </c>
      <c r="E179">
        <v>1928</v>
      </c>
      <c r="F179">
        <v>800</v>
      </c>
      <c r="G179">
        <v>919</v>
      </c>
      <c r="H179">
        <v>22</v>
      </c>
      <c r="I179" s="4">
        <f t="shared" si="10"/>
        <v>43335</v>
      </c>
      <c r="J179" s="6">
        <f t="shared" si="11"/>
        <v>1796528.3459286499</v>
      </c>
      <c r="K179" s="8">
        <f t="shared" si="12"/>
        <v>-778</v>
      </c>
      <c r="L179" s="10">
        <f t="shared" si="13"/>
        <v>76201546320.909622</v>
      </c>
      <c r="M179" s="4">
        <f t="shared" si="14"/>
        <v>-25988540.075085368</v>
      </c>
    </row>
    <row r="180" spans="1:13" x14ac:dyDescent="0.2">
      <c r="A180" s="1">
        <v>0</v>
      </c>
      <c r="B180">
        <v>2</v>
      </c>
      <c r="C180">
        <v>2</v>
      </c>
      <c r="D180">
        <v>4625000</v>
      </c>
      <c r="E180">
        <v>1987</v>
      </c>
      <c r="F180">
        <v>1695</v>
      </c>
      <c r="G180">
        <v>2729</v>
      </c>
      <c r="H180">
        <v>29</v>
      </c>
      <c r="I180" s="4">
        <f t="shared" si="10"/>
        <v>60352</v>
      </c>
      <c r="J180" s="6">
        <f t="shared" si="11"/>
        <v>10236164.889182184</v>
      </c>
      <c r="K180" s="8">
        <f t="shared" si="12"/>
        <v>-1666</v>
      </c>
      <c r="L180" s="10">
        <f t="shared" si="13"/>
        <v>589838529409.34497</v>
      </c>
      <c r="M180" s="4">
        <f t="shared" si="14"/>
        <v>-2710634959.5827141</v>
      </c>
    </row>
    <row r="181" spans="1:13" x14ac:dyDescent="0.2">
      <c r="A181" s="1">
        <v>0</v>
      </c>
      <c r="B181">
        <v>1</v>
      </c>
      <c r="C181">
        <v>1</v>
      </c>
      <c r="D181">
        <v>749000</v>
      </c>
      <c r="E181">
        <v>2011</v>
      </c>
      <c r="F181">
        <v>762</v>
      </c>
      <c r="G181">
        <v>983</v>
      </c>
      <c r="H181">
        <v>10</v>
      </c>
      <c r="I181" s="4">
        <f t="shared" si="10"/>
        <v>21093</v>
      </c>
      <c r="J181" s="6">
        <f t="shared" si="11"/>
        <v>852475.47147812659</v>
      </c>
      <c r="K181" s="8">
        <f t="shared" si="12"/>
        <v>-752</v>
      </c>
      <c r="L181" s="10">
        <f t="shared" si="13"/>
        <v>17143281731.425125</v>
      </c>
      <c r="M181" s="4">
        <f t="shared" si="14"/>
        <v>-5758969.5680174464</v>
      </c>
    </row>
    <row r="182" spans="1:13" x14ac:dyDescent="0.2">
      <c r="A182" s="1">
        <v>0</v>
      </c>
      <c r="B182">
        <v>1</v>
      </c>
      <c r="C182">
        <v>1</v>
      </c>
      <c r="D182">
        <v>499999</v>
      </c>
      <c r="E182">
        <v>2011</v>
      </c>
      <c r="F182">
        <v>669</v>
      </c>
      <c r="G182">
        <v>747</v>
      </c>
      <c r="H182">
        <v>35</v>
      </c>
      <c r="I182" s="4">
        <f t="shared" si="10"/>
        <v>71132</v>
      </c>
      <c r="J182" s="6">
        <f t="shared" si="11"/>
        <v>2124479.7375312969</v>
      </c>
      <c r="K182" s="8">
        <f t="shared" si="12"/>
        <v>-634</v>
      </c>
      <c r="L182" s="10">
        <f t="shared" si="13"/>
        <v>149531506326.14032</v>
      </c>
      <c r="M182" s="4">
        <f t="shared" si="14"/>
        <v>-28271071.231231883</v>
      </c>
    </row>
    <row r="183" spans="1:13" x14ac:dyDescent="0.2">
      <c r="A183" s="1">
        <v>0</v>
      </c>
      <c r="B183">
        <v>1</v>
      </c>
      <c r="C183">
        <v>1</v>
      </c>
      <c r="D183">
        <v>749000</v>
      </c>
      <c r="E183">
        <v>2011</v>
      </c>
      <c r="F183">
        <v>762</v>
      </c>
      <c r="G183">
        <v>983</v>
      </c>
      <c r="H183">
        <v>35</v>
      </c>
      <c r="I183" s="4">
        <f t="shared" si="10"/>
        <v>71368</v>
      </c>
      <c r="J183" s="6">
        <f t="shared" si="11"/>
        <v>2983664.1501734429</v>
      </c>
      <c r="K183" s="8">
        <f t="shared" si="12"/>
        <v>-727</v>
      </c>
      <c r="L183" s="10">
        <f t="shared" si="13"/>
        <v>210005201209.95776</v>
      </c>
      <c r="M183" s="4">
        <f t="shared" si="14"/>
        <v>-68202052.168047026</v>
      </c>
    </row>
    <row r="184" spans="1:13" x14ac:dyDescent="0.2">
      <c r="A184" s="1">
        <v>0</v>
      </c>
      <c r="B184">
        <v>2</v>
      </c>
      <c r="C184">
        <v>2</v>
      </c>
      <c r="D184">
        <v>904000</v>
      </c>
      <c r="E184">
        <v>1920</v>
      </c>
      <c r="F184">
        <v>1503</v>
      </c>
      <c r="G184">
        <v>601</v>
      </c>
      <c r="H184">
        <v>10</v>
      </c>
      <c r="I184" s="4">
        <f t="shared" si="10"/>
        <v>19801</v>
      </c>
      <c r="J184" s="6">
        <f t="shared" si="11"/>
        <v>731989.49861590273</v>
      </c>
      <c r="K184" s="8">
        <f t="shared" si="12"/>
        <v>-1493</v>
      </c>
      <c r="L184" s="10">
        <f t="shared" si="13"/>
        <v>14054198373.425333</v>
      </c>
      <c r="M184" s="4">
        <f t="shared" si="14"/>
        <v>-11313200.405384347</v>
      </c>
    </row>
    <row r="185" spans="1:13" x14ac:dyDescent="0.2">
      <c r="A185" s="1">
        <v>0</v>
      </c>
      <c r="B185">
        <v>2</v>
      </c>
      <c r="C185">
        <v>2</v>
      </c>
      <c r="D185">
        <v>904000</v>
      </c>
      <c r="E185">
        <v>1920</v>
      </c>
      <c r="F185">
        <v>1503</v>
      </c>
      <c r="G185">
        <v>601</v>
      </c>
      <c r="H185">
        <v>10</v>
      </c>
      <c r="I185" s="4">
        <f t="shared" si="10"/>
        <v>19801</v>
      </c>
      <c r="J185" s="6">
        <f t="shared" si="11"/>
        <v>731989.49861590273</v>
      </c>
      <c r="K185" s="8">
        <f t="shared" si="12"/>
        <v>-1493</v>
      </c>
      <c r="L185" s="10">
        <f t="shared" si="13"/>
        <v>14054198373.425333</v>
      </c>
      <c r="M185" s="4">
        <f t="shared" si="14"/>
        <v>-11313200.405384347</v>
      </c>
    </row>
    <row r="186" spans="1:13" x14ac:dyDescent="0.2">
      <c r="A186" s="1">
        <v>0</v>
      </c>
      <c r="B186">
        <v>2</v>
      </c>
      <c r="C186">
        <v>1</v>
      </c>
      <c r="D186">
        <v>559900</v>
      </c>
      <c r="E186">
        <v>1925</v>
      </c>
      <c r="F186">
        <v>1200</v>
      </c>
      <c r="G186">
        <v>467</v>
      </c>
      <c r="H186">
        <v>51</v>
      </c>
      <c r="I186" s="4">
        <f t="shared" si="10"/>
        <v>98642</v>
      </c>
      <c r="J186" s="6">
        <f t="shared" si="11"/>
        <v>2591961.6285975911</v>
      </c>
      <c r="K186" s="8">
        <f t="shared" si="12"/>
        <v>-1149</v>
      </c>
      <c r="L186" s="10">
        <f t="shared" si="13"/>
        <v>254465832887.56848</v>
      </c>
      <c r="M186" s="4">
        <f t="shared" si="14"/>
        <v>-97636260.406000167</v>
      </c>
    </row>
    <row r="187" spans="1:13" x14ac:dyDescent="0.2">
      <c r="A187" s="1">
        <v>0</v>
      </c>
      <c r="B187">
        <v>2</v>
      </c>
      <c r="C187">
        <v>1</v>
      </c>
      <c r="D187">
        <v>545000</v>
      </c>
      <c r="E187">
        <v>1939</v>
      </c>
      <c r="F187">
        <v>1049</v>
      </c>
      <c r="G187">
        <v>520</v>
      </c>
      <c r="H187">
        <v>39</v>
      </c>
      <c r="I187" s="4">
        <f t="shared" si="10"/>
        <v>76141</v>
      </c>
      <c r="J187" s="6">
        <f t="shared" si="11"/>
        <v>2063510.024528309</v>
      </c>
      <c r="K187" s="8">
        <f t="shared" si="12"/>
        <v>-1010</v>
      </c>
      <c r="L187" s="10">
        <f t="shared" si="13"/>
        <v>156044691564.85526</v>
      </c>
      <c r="M187" s="4">
        <f t="shared" si="14"/>
        <v>-51229254.755826578</v>
      </c>
    </row>
    <row r="188" spans="1:13" x14ac:dyDescent="0.2">
      <c r="A188" s="1">
        <v>0</v>
      </c>
      <c r="B188">
        <v>2</v>
      </c>
      <c r="C188">
        <v>1</v>
      </c>
      <c r="D188">
        <v>365000</v>
      </c>
      <c r="E188">
        <v>1925</v>
      </c>
      <c r="F188">
        <v>700</v>
      </c>
      <c r="G188">
        <v>521</v>
      </c>
      <c r="H188">
        <v>73</v>
      </c>
      <c r="I188" s="4">
        <f t="shared" si="10"/>
        <v>141046</v>
      </c>
      <c r="J188" s="6">
        <f t="shared" si="11"/>
        <v>3161262.0056246142</v>
      </c>
      <c r="K188" s="8">
        <f t="shared" si="12"/>
        <v>-627</v>
      </c>
      <c r="L188" s="10">
        <f t="shared" si="13"/>
        <v>444236343340.39886</v>
      </c>
      <c r="M188" s="4">
        <f t="shared" si="14"/>
        <v>-60635317.209495232</v>
      </c>
    </row>
    <row r="189" spans="1:13" x14ac:dyDescent="0.2">
      <c r="A189" s="1">
        <v>0</v>
      </c>
      <c r="B189">
        <v>2</v>
      </c>
      <c r="C189">
        <v>1</v>
      </c>
      <c r="D189">
        <v>365000</v>
      </c>
      <c r="E189">
        <v>1925</v>
      </c>
      <c r="F189">
        <v>700</v>
      </c>
      <c r="G189">
        <v>521</v>
      </c>
      <c r="H189">
        <v>73</v>
      </c>
      <c r="I189" s="4">
        <f t="shared" si="10"/>
        <v>141046</v>
      </c>
      <c r="J189" s="6">
        <f t="shared" si="11"/>
        <v>3161262.0056246142</v>
      </c>
      <c r="K189" s="8">
        <f t="shared" si="12"/>
        <v>-627</v>
      </c>
      <c r="L189" s="10">
        <f t="shared" si="13"/>
        <v>444236343340.39886</v>
      </c>
      <c r="M189" s="4">
        <f t="shared" si="14"/>
        <v>-60635317.209495232</v>
      </c>
    </row>
    <row r="190" spans="1:13" x14ac:dyDescent="0.2">
      <c r="A190" s="1">
        <v>0</v>
      </c>
      <c r="B190">
        <v>1</v>
      </c>
      <c r="C190">
        <v>1</v>
      </c>
      <c r="D190">
        <v>935000</v>
      </c>
      <c r="E190">
        <v>1910</v>
      </c>
      <c r="F190">
        <v>1102</v>
      </c>
      <c r="G190">
        <v>848</v>
      </c>
      <c r="H190">
        <v>8</v>
      </c>
      <c r="I190" s="4">
        <f t="shared" si="10"/>
        <v>16128</v>
      </c>
      <c r="J190" s="6">
        <f t="shared" si="11"/>
        <v>707501.76034022856</v>
      </c>
      <c r="K190" s="8">
        <f t="shared" si="12"/>
        <v>-1094</v>
      </c>
      <c r="L190" s="10">
        <f t="shared" si="13"/>
        <v>10810626897.998692</v>
      </c>
      <c r="M190" s="4">
        <f t="shared" si="14"/>
        <v>-6595245.6300374297</v>
      </c>
    </row>
    <row r="191" spans="1:13" x14ac:dyDescent="0.2">
      <c r="A191" s="1">
        <v>0</v>
      </c>
      <c r="B191">
        <v>0</v>
      </c>
      <c r="C191">
        <v>1</v>
      </c>
      <c r="D191">
        <v>820000</v>
      </c>
      <c r="E191">
        <v>2013</v>
      </c>
      <c r="F191">
        <v>533</v>
      </c>
      <c r="G191">
        <v>1538</v>
      </c>
      <c r="H191">
        <v>8</v>
      </c>
      <c r="I191" s="4">
        <f t="shared" si="10"/>
        <v>17642</v>
      </c>
      <c r="J191" s="6">
        <f t="shared" si="11"/>
        <v>892402.57597833581</v>
      </c>
      <c r="K191" s="8">
        <f t="shared" si="12"/>
        <v>-525</v>
      </c>
      <c r="L191" s="10">
        <f t="shared" si="13"/>
        <v>14371251083.55512</v>
      </c>
      <c r="M191" s="4">
        <f t="shared" si="14"/>
        <v>-3689936.5288191126</v>
      </c>
    </row>
    <row r="192" spans="1:13" x14ac:dyDescent="0.2">
      <c r="A192" s="1">
        <v>0</v>
      </c>
      <c r="B192">
        <v>0</v>
      </c>
      <c r="C192">
        <v>1</v>
      </c>
      <c r="D192">
        <v>835000</v>
      </c>
      <c r="E192">
        <v>2013</v>
      </c>
      <c r="F192">
        <v>501</v>
      </c>
      <c r="G192">
        <v>1667</v>
      </c>
      <c r="H192">
        <v>8</v>
      </c>
      <c r="I192" s="4">
        <f t="shared" si="10"/>
        <v>17771</v>
      </c>
      <c r="J192" s="6">
        <f t="shared" si="11"/>
        <v>937767.8467813303</v>
      </c>
      <c r="K192" s="8">
        <f t="shared" si="12"/>
        <v>-493</v>
      </c>
      <c r="L192" s="10">
        <f t="shared" si="13"/>
        <v>15101813404.566544</v>
      </c>
      <c r="M192" s="4">
        <f t="shared" si="14"/>
        <v>-3707777.4396423451</v>
      </c>
    </row>
    <row r="193" spans="1:13" x14ac:dyDescent="0.2">
      <c r="A193" s="1">
        <v>0</v>
      </c>
      <c r="B193">
        <v>1</v>
      </c>
      <c r="C193">
        <v>1</v>
      </c>
      <c r="D193">
        <v>935000</v>
      </c>
      <c r="E193">
        <v>1910</v>
      </c>
      <c r="F193">
        <v>1102</v>
      </c>
      <c r="G193">
        <v>848</v>
      </c>
      <c r="H193">
        <v>10</v>
      </c>
      <c r="I193" s="4">
        <f t="shared" si="10"/>
        <v>19948</v>
      </c>
      <c r="J193" s="6">
        <f t="shared" si="11"/>
        <v>884377.20042528561</v>
      </c>
      <c r="K193" s="8">
        <f t="shared" si="12"/>
        <v>-1092</v>
      </c>
      <c r="L193" s="10">
        <f t="shared" si="13"/>
        <v>16891604528.122955</v>
      </c>
      <c r="M193" s="4">
        <f t="shared" si="14"/>
        <v>-10286232.044105452</v>
      </c>
    </row>
    <row r="194" spans="1:13" x14ac:dyDescent="0.2">
      <c r="A194" s="1">
        <v>0</v>
      </c>
      <c r="B194">
        <v>1</v>
      </c>
      <c r="C194">
        <v>1</v>
      </c>
      <c r="D194">
        <v>1420000</v>
      </c>
      <c r="E194">
        <v>2004</v>
      </c>
      <c r="F194">
        <v>768</v>
      </c>
      <c r="G194">
        <v>1849</v>
      </c>
      <c r="H194">
        <v>10</v>
      </c>
      <c r="I194" s="4">
        <f t="shared" si="10"/>
        <v>21889</v>
      </c>
      <c r="J194" s="6">
        <f t="shared" si="11"/>
        <v>1609786.9761185525</v>
      </c>
      <c r="K194" s="8">
        <f t="shared" si="12"/>
        <v>-758</v>
      </c>
      <c r="L194" s="10">
        <f t="shared" si="13"/>
        <v>32260131001.415791</v>
      </c>
      <c r="M194" s="4">
        <f t="shared" si="14"/>
        <v>-20709749.204010159</v>
      </c>
    </row>
    <row r="195" spans="1:13" x14ac:dyDescent="0.2">
      <c r="A195" s="1">
        <v>0</v>
      </c>
      <c r="B195">
        <v>1</v>
      </c>
      <c r="C195">
        <v>1</v>
      </c>
      <c r="D195">
        <v>1550000</v>
      </c>
      <c r="E195">
        <v>2004</v>
      </c>
      <c r="F195">
        <v>794</v>
      </c>
      <c r="G195">
        <v>1952</v>
      </c>
      <c r="H195">
        <v>10</v>
      </c>
      <c r="I195" s="4">
        <f t="shared" ref="I195:I258" si="15">+(H195*E195)+G195</f>
        <v>21992</v>
      </c>
      <c r="J195" s="6">
        <f t="shared" ref="J195:J258" si="16">+(3.1416*G195*H195)*SQRT(F195)</f>
        <v>1727988.917552771</v>
      </c>
      <c r="K195" s="8">
        <f t="shared" ref="K195:K258" si="17">+H195-F195</f>
        <v>-784</v>
      </c>
      <c r="L195" s="10">
        <f t="shared" ref="L195:L258" si="18">+J195*E195*H195</f>
        <v>34628897907.75753</v>
      </c>
      <c r="M195" s="4">
        <f t="shared" ref="M195:M258" si="19">(K195*L195/465743*D195)/3600000</f>
        <v>-25097912.092140317</v>
      </c>
    </row>
    <row r="196" spans="1:13" x14ac:dyDescent="0.2">
      <c r="A196" s="1">
        <v>0</v>
      </c>
      <c r="B196">
        <v>2</v>
      </c>
      <c r="C196">
        <v>2</v>
      </c>
      <c r="D196">
        <v>1635000</v>
      </c>
      <c r="E196">
        <v>2004</v>
      </c>
      <c r="F196">
        <v>957</v>
      </c>
      <c r="G196">
        <v>1708</v>
      </c>
      <c r="H196">
        <v>10</v>
      </c>
      <c r="I196" s="4">
        <f t="shared" si="15"/>
        <v>21748</v>
      </c>
      <c r="J196" s="6">
        <f t="shared" si="16"/>
        <v>1659948.9176358206</v>
      </c>
      <c r="K196" s="8">
        <f t="shared" si="17"/>
        <v>-947</v>
      </c>
      <c r="L196" s="10">
        <f t="shared" si="18"/>
        <v>33265376309.421844</v>
      </c>
      <c r="M196" s="4">
        <f t="shared" si="19"/>
        <v>-30719301.728523485</v>
      </c>
    </row>
    <row r="197" spans="1:13" x14ac:dyDescent="0.2">
      <c r="A197" s="1">
        <v>0</v>
      </c>
      <c r="B197">
        <v>1</v>
      </c>
      <c r="C197">
        <v>1</v>
      </c>
      <c r="D197">
        <v>1550000</v>
      </c>
      <c r="E197">
        <v>2004</v>
      </c>
      <c r="F197">
        <v>794</v>
      </c>
      <c r="G197">
        <v>1952</v>
      </c>
      <c r="H197">
        <v>11</v>
      </c>
      <c r="I197" s="4">
        <f t="shared" si="15"/>
        <v>23996</v>
      </c>
      <c r="J197" s="6">
        <f t="shared" si="16"/>
        <v>1900787.8093080479</v>
      </c>
      <c r="K197" s="8">
        <f t="shared" si="17"/>
        <v>-783</v>
      </c>
      <c r="L197" s="10">
        <f t="shared" si="18"/>
        <v>41900966468.386604</v>
      </c>
      <c r="M197" s="4">
        <f t="shared" si="19"/>
        <v>-30329738.333490435</v>
      </c>
    </row>
    <row r="198" spans="1:13" x14ac:dyDescent="0.2">
      <c r="A198" s="1">
        <v>0</v>
      </c>
      <c r="B198">
        <v>1</v>
      </c>
      <c r="C198">
        <v>1</v>
      </c>
      <c r="D198">
        <v>1780000</v>
      </c>
      <c r="E198">
        <v>2007</v>
      </c>
      <c r="F198">
        <v>988</v>
      </c>
      <c r="G198">
        <v>1802</v>
      </c>
      <c r="H198">
        <v>14</v>
      </c>
      <c r="I198" s="4">
        <f t="shared" si="15"/>
        <v>29900</v>
      </c>
      <c r="J198" s="6">
        <f t="shared" si="16"/>
        <v>2491220.5795824514</v>
      </c>
      <c r="K198" s="8">
        <f t="shared" si="17"/>
        <v>-974</v>
      </c>
      <c r="L198" s="10">
        <f t="shared" si="18"/>
        <v>69998315845.107727</v>
      </c>
      <c r="M198" s="4">
        <f t="shared" si="19"/>
        <v>-72379855.740051776</v>
      </c>
    </row>
    <row r="199" spans="1:13" x14ac:dyDescent="0.2">
      <c r="A199" s="1">
        <v>0</v>
      </c>
      <c r="B199">
        <v>2</v>
      </c>
      <c r="C199">
        <v>2</v>
      </c>
      <c r="D199">
        <v>2800000</v>
      </c>
      <c r="E199">
        <v>2007</v>
      </c>
      <c r="F199">
        <v>1308</v>
      </c>
      <c r="G199">
        <v>2141</v>
      </c>
      <c r="H199">
        <v>14</v>
      </c>
      <c r="I199" s="4">
        <f t="shared" si="15"/>
        <v>30239</v>
      </c>
      <c r="J199" s="6">
        <f t="shared" si="16"/>
        <v>3405645.6864273646</v>
      </c>
      <c r="K199" s="8">
        <f t="shared" si="17"/>
        <v>-1294</v>
      </c>
      <c r="L199" s="10">
        <f t="shared" si="18"/>
        <v>95691832497.236084</v>
      </c>
      <c r="M199" s="4">
        <f t="shared" si="19"/>
        <v>-206784671.3650052</v>
      </c>
    </row>
    <row r="200" spans="1:13" x14ac:dyDescent="0.2">
      <c r="A200" s="1">
        <v>0</v>
      </c>
      <c r="B200">
        <v>1</v>
      </c>
      <c r="C200">
        <v>1</v>
      </c>
      <c r="D200">
        <v>411500</v>
      </c>
      <c r="E200">
        <v>1921</v>
      </c>
      <c r="F200">
        <v>586</v>
      </c>
      <c r="G200">
        <v>702</v>
      </c>
      <c r="H200">
        <v>6</v>
      </c>
      <c r="I200" s="4">
        <f t="shared" si="15"/>
        <v>12228</v>
      </c>
      <c r="J200" s="6">
        <f t="shared" si="16"/>
        <v>320322.95247192914</v>
      </c>
      <c r="K200" s="8">
        <f t="shared" si="17"/>
        <v>-580</v>
      </c>
      <c r="L200" s="10">
        <f t="shared" si="18"/>
        <v>3692042350.1914549</v>
      </c>
      <c r="M200" s="4">
        <f t="shared" si="19"/>
        <v>-525551.97210585768</v>
      </c>
    </row>
    <row r="201" spans="1:13" x14ac:dyDescent="0.2">
      <c r="A201" s="1">
        <v>0</v>
      </c>
      <c r="B201">
        <v>2</v>
      </c>
      <c r="C201">
        <v>2</v>
      </c>
      <c r="D201">
        <v>2175000</v>
      </c>
      <c r="E201">
        <v>1999</v>
      </c>
      <c r="F201">
        <v>1569</v>
      </c>
      <c r="G201">
        <v>1386</v>
      </c>
      <c r="H201">
        <v>10</v>
      </c>
      <c r="I201" s="4">
        <f t="shared" si="15"/>
        <v>21376</v>
      </c>
      <c r="J201" s="6">
        <f t="shared" si="16"/>
        <v>1724747.7629726187</v>
      </c>
      <c r="K201" s="8">
        <f t="shared" si="17"/>
        <v>-1559</v>
      </c>
      <c r="L201" s="10">
        <f t="shared" si="18"/>
        <v>34477707781.822647</v>
      </c>
      <c r="M201" s="4">
        <f t="shared" si="19"/>
        <v>-69726027.664576799</v>
      </c>
    </row>
    <row r="202" spans="1:13" x14ac:dyDescent="0.2">
      <c r="A202" s="1">
        <v>0</v>
      </c>
      <c r="B202">
        <v>2</v>
      </c>
      <c r="C202">
        <v>2</v>
      </c>
      <c r="D202">
        <v>1995000</v>
      </c>
      <c r="E202">
        <v>1996</v>
      </c>
      <c r="F202">
        <v>1044</v>
      </c>
      <c r="G202">
        <v>1911</v>
      </c>
      <c r="H202">
        <v>10</v>
      </c>
      <c r="I202" s="4">
        <f t="shared" si="15"/>
        <v>21871</v>
      </c>
      <c r="J202" s="6">
        <f t="shared" si="16"/>
        <v>1939821.75070303</v>
      </c>
      <c r="K202" s="8">
        <f t="shared" si="17"/>
        <v>-1034</v>
      </c>
      <c r="L202" s="10">
        <f t="shared" si="18"/>
        <v>38718842144.032478</v>
      </c>
      <c r="M202" s="4">
        <f t="shared" si="19"/>
        <v>-47636183.915911727</v>
      </c>
    </row>
    <row r="203" spans="1:13" x14ac:dyDescent="0.2">
      <c r="A203" s="1">
        <v>0</v>
      </c>
      <c r="B203">
        <v>2</v>
      </c>
      <c r="C203">
        <v>2</v>
      </c>
      <c r="D203">
        <v>2235000</v>
      </c>
      <c r="E203">
        <v>1999</v>
      </c>
      <c r="F203">
        <v>1548</v>
      </c>
      <c r="G203">
        <v>1444</v>
      </c>
      <c r="H203">
        <v>14</v>
      </c>
      <c r="I203" s="4">
        <f t="shared" si="15"/>
        <v>29430</v>
      </c>
      <c r="J203" s="6">
        <f t="shared" si="16"/>
        <v>2498800.5642865193</v>
      </c>
      <c r="K203" s="8">
        <f t="shared" si="17"/>
        <v>-1534</v>
      </c>
      <c r="L203" s="10">
        <f t="shared" si="18"/>
        <v>69931432592.122528</v>
      </c>
      <c r="M203" s="4">
        <f t="shared" si="19"/>
        <v>-142996851.46324509</v>
      </c>
    </row>
    <row r="204" spans="1:13" x14ac:dyDescent="0.2">
      <c r="A204" s="1">
        <v>0</v>
      </c>
      <c r="B204">
        <v>4</v>
      </c>
      <c r="C204">
        <v>4</v>
      </c>
      <c r="D204">
        <v>8800000</v>
      </c>
      <c r="E204">
        <v>1941</v>
      </c>
      <c r="F204">
        <v>3382</v>
      </c>
      <c r="G204">
        <v>2602</v>
      </c>
      <c r="H204">
        <v>15</v>
      </c>
      <c r="I204" s="4">
        <f t="shared" si="15"/>
        <v>31717</v>
      </c>
      <c r="J204" s="6">
        <f t="shared" si="16"/>
        <v>7130766.9211921711</v>
      </c>
      <c r="K204" s="8">
        <f t="shared" si="17"/>
        <v>-3367</v>
      </c>
      <c r="L204" s="10">
        <f t="shared" si="18"/>
        <v>207612278910.51007</v>
      </c>
      <c r="M204" s="4">
        <f t="shared" si="19"/>
        <v>-3668850261.9630527</v>
      </c>
    </row>
    <row r="205" spans="1:13" x14ac:dyDescent="0.2">
      <c r="A205" s="1">
        <v>0</v>
      </c>
      <c r="B205">
        <v>2</v>
      </c>
      <c r="C205">
        <v>2</v>
      </c>
      <c r="D205">
        <v>1850000</v>
      </c>
      <c r="E205">
        <v>1996</v>
      </c>
      <c r="F205">
        <v>1044</v>
      </c>
      <c r="G205">
        <v>1772</v>
      </c>
      <c r="H205">
        <v>17</v>
      </c>
      <c r="I205" s="4">
        <f t="shared" si="15"/>
        <v>35704</v>
      </c>
      <c r="J205" s="6">
        <f t="shared" si="16"/>
        <v>3057833.0935728978</v>
      </c>
      <c r="K205" s="8">
        <f t="shared" si="17"/>
        <v>-1027</v>
      </c>
      <c r="L205" s="10">
        <f t="shared" si="18"/>
        <v>103758392531.11557</v>
      </c>
      <c r="M205" s="4">
        <f t="shared" si="19"/>
        <v>-117575428.39523385</v>
      </c>
    </row>
    <row r="206" spans="1:13" x14ac:dyDescent="0.2">
      <c r="A206" s="1">
        <v>0</v>
      </c>
      <c r="B206">
        <v>2</v>
      </c>
      <c r="C206">
        <v>2</v>
      </c>
      <c r="D206">
        <v>1995000</v>
      </c>
      <c r="E206">
        <v>1996</v>
      </c>
      <c r="F206">
        <v>1044</v>
      </c>
      <c r="G206">
        <v>1911</v>
      </c>
      <c r="H206">
        <v>17</v>
      </c>
      <c r="I206" s="4">
        <f t="shared" si="15"/>
        <v>35843</v>
      </c>
      <c r="J206" s="6">
        <f t="shared" si="16"/>
        <v>3297696.976195151</v>
      </c>
      <c r="K206" s="8">
        <f t="shared" si="17"/>
        <v>-1027</v>
      </c>
      <c r="L206" s="10">
        <f t="shared" si="18"/>
        <v>111897453796.25386</v>
      </c>
      <c r="M206" s="4">
        <f t="shared" si="19"/>
        <v>-136736579.25333026</v>
      </c>
    </row>
    <row r="207" spans="1:13" x14ac:dyDescent="0.2">
      <c r="A207" s="1">
        <v>0</v>
      </c>
      <c r="B207">
        <v>1</v>
      </c>
      <c r="C207">
        <v>1</v>
      </c>
      <c r="D207">
        <v>1695000</v>
      </c>
      <c r="E207">
        <v>1927</v>
      </c>
      <c r="F207">
        <v>680</v>
      </c>
      <c r="G207">
        <v>2493</v>
      </c>
      <c r="H207">
        <v>17</v>
      </c>
      <c r="I207" s="4">
        <f t="shared" si="15"/>
        <v>35252</v>
      </c>
      <c r="J207" s="6">
        <f t="shared" si="16"/>
        <v>3471974.6412439253</v>
      </c>
      <c r="K207" s="8">
        <f t="shared" si="17"/>
        <v>-663</v>
      </c>
      <c r="L207" s="10">
        <f t="shared" si="18"/>
        <v>113738417272.50975</v>
      </c>
      <c r="M207" s="4">
        <f t="shared" si="19"/>
        <v>-76232747.84984386</v>
      </c>
    </row>
    <row r="208" spans="1:13" x14ac:dyDescent="0.2">
      <c r="A208" s="1">
        <v>0</v>
      </c>
      <c r="B208">
        <v>1</v>
      </c>
      <c r="C208">
        <v>1</v>
      </c>
      <c r="D208">
        <v>1495000</v>
      </c>
      <c r="E208">
        <v>1962</v>
      </c>
      <c r="F208">
        <v>1125</v>
      </c>
      <c r="G208">
        <v>1329</v>
      </c>
      <c r="H208">
        <v>19</v>
      </c>
      <c r="I208" s="4">
        <f t="shared" si="15"/>
        <v>38607</v>
      </c>
      <c r="J208" s="6">
        <f t="shared" si="16"/>
        <v>2660760.1736027985</v>
      </c>
      <c r="K208" s="8">
        <f t="shared" si="17"/>
        <v>-1106</v>
      </c>
      <c r="L208" s="10">
        <f t="shared" si="18"/>
        <v>99187817751.565109</v>
      </c>
      <c r="M208" s="4">
        <f t="shared" si="19"/>
        <v>-97815080.788284272</v>
      </c>
    </row>
    <row r="209" spans="1:13" x14ac:dyDescent="0.2">
      <c r="A209" s="1">
        <v>0</v>
      </c>
      <c r="B209">
        <v>2</v>
      </c>
      <c r="C209">
        <v>2</v>
      </c>
      <c r="D209">
        <v>2200000</v>
      </c>
      <c r="E209">
        <v>2000</v>
      </c>
      <c r="F209">
        <v>1044</v>
      </c>
      <c r="G209">
        <v>2107</v>
      </c>
      <c r="H209">
        <v>2</v>
      </c>
      <c r="I209" s="4">
        <f t="shared" si="15"/>
        <v>6107</v>
      </c>
      <c r="J209" s="6">
        <f t="shared" si="16"/>
        <v>427755.56553964253</v>
      </c>
      <c r="K209" s="8">
        <f t="shared" si="17"/>
        <v>-1042</v>
      </c>
      <c r="L209" s="10">
        <f t="shared" si="18"/>
        <v>1711022262.1585701</v>
      </c>
      <c r="M209" s="4">
        <f t="shared" si="19"/>
        <v>-2339360.8789088414</v>
      </c>
    </row>
    <row r="210" spans="1:13" x14ac:dyDescent="0.2">
      <c r="A210" s="1">
        <v>0</v>
      </c>
      <c r="B210">
        <v>0.5</v>
      </c>
      <c r="C210">
        <v>1</v>
      </c>
      <c r="D210">
        <v>384900</v>
      </c>
      <c r="E210">
        <v>1962</v>
      </c>
      <c r="F210">
        <v>540</v>
      </c>
      <c r="G210">
        <v>713</v>
      </c>
      <c r="H210">
        <v>10</v>
      </c>
      <c r="I210" s="4">
        <f t="shared" si="15"/>
        <v>20333</v>
      </c>
      <c r="J210" s="6">
        <f t="shared" si="16"/>
        <v>520519.85247344652</v>
      </c>
      <c r="K210" s="8">
        <f t="shared" si="17"/>
        <v>-530</v>
      </c>
      <c r="L210" s="10">
        <f t="shared" si="18"/>
        <v>10212599505.52902</v>
      </c>
      <c r="M210" s="4">
        <f t="shared" si="19"/>
        <v>-1242542.4783204254</v>
      </c>
    </row>
    <row r="211" spans="1:13" x14ac:dyDescent="0.2">
      <c r="A211" s="1">
        <v>0</v>
      </c>
      <c r="B211">
        <v>1</v>
      </c>
      <c r="C211">
        <v>1</v>
      </c>
      <c r="D211">
        <v>515000</v>
      </c>
      <c r="E211">
        <v>1962</v>
      </c>
      <c r="F211">
        <v>725</v>
      </c>
      <c r="G211">
        <v>710</v>
      </c>
      <c r="H211">
        <v>10</v>
      </c>
      <c r="I211" s="4">
        <f t="shared" si="15"/>
        <v>20330</v>
      </c>
      <c r="J211" s="6">
        <f t="shared" si="16"/>
        <v>600590.19841232838</v>
      </c>
      <c r="K211" s="8">
        <f t="shared" si="17"/>
        <v>-715</v>
      </c>
      <c r="L211" s="10">
        <f t="shared" si="18"/>
        <v>11783579692.849882</v>
      </c>
      <c r="M211" s="4">
        <f t="shared" si="19"/>
        <v>-2587865.3585058046</v>
      </c>
    </row>
    <row r="212" spans="1:13" x14ac:dyDescent="0.2">
      <c r="A212" s="1">
        <v>0</v>
      </c>
      <c r="B212">
        <v>3</v>
      </c>
      <c r="C212">
        <v>2</v>
      </c>
      <c r="D212">
        <v>1950000</v>
      </c>
      <c r="E212">
        <v>1956</v>
      </c>
      <c r="F212">
        <v>1600</v>
      </c>
      <c r="G212">
        <v>1219</v>
      </c>
      <c r="H212">
        <v>10</v>
      </c>
      <c r="I212" s="4">
        <f t="shared" si="15"/>
        <v>20779</v>
      </c>
      <c r="J212" s="6">
        <f t="shared" si="16"/>
        <v>1531844.16</v>
      </c>
      <c r="K212" s="8">
        <f t="shared" si="17"/>
        <v>-1590</v>
      </c>
      <c r="L212" s="10">
        <f t="shared" si="18"/>
        <v>29962871769.599998</v>
      </c>
      <c r="M212" s="4">
        <f t="shared" si="19"/>
        <v>-55407216.665774904</v>
      </c>
    </row>
    <row r="213" spans="1:13" x14ac:dyDescent="0.2">
      <c r="A213" s="1">
        <v>0</v>
      </c>
      <c r="B213">
        <v>0</v>
      </c>
      <c r="C213">
        <v>1</v>
      </c>
      <c r="D213">
        <v>307000</v>
      </c>
      <c r="E213">
        <v>1910</v>
      </c>
      <c r="F213">
        <v>330</v>
      </c>
      <c r="G213">
        <v>930</v>
      </c>
      <c r="H213">
        <v>15</v>
      </c>
      <c r="I213" s="4">
        <f t="shared" si="15"/>
        <v>29580</v>
      </c>
      <c r="J213" s="6">
        <f t="shared" si="16"/>
        <v>796126.47369861533</v>
      </c>
      <c r="K213" s="8">
        <f t="shared" si="17"/>
        <v>-315</v>
      </c>
      <c r="L213" s="10">
        <f t="shared" si="18"/>
        <v>22809023471.465328</v>
      </c>
      <c r="M213" s="4">
        <f t="shared" si="19"/>
        <v>-1315548.259452611</v>
      </c>
    </row>
    <row r="214" spans="1:13" x14ac:dyDescent="0.2">
      <c r="A214" s="1">
        <v>0</v>
      </c>
      <c r="B214">
        <v>2</v>
      </c>
      <c r="C214">
        <v>2</v>
      </c>
      <c r="D214">
        <v>1735000</v>
      </c>
      <c r="E214">
        <v>1980</v>
      </c>
      <c r="F214">
        <v>1585</v>
      </c>
      <c r="G214">
        <v>1095</v>
      </c>
      <c r="H214">
        <v>18</v>
      </c>
      <c r="I214" s="4">
        <f t="shared" si="15"/>
        <v>36735</v>
      </c>
      <c r="J214" s="6">
        <f t="shared" si="16"/>
        <v>2465199.9248456527</v>
      </c>
      <c r="K214" s="8">
        <f t="shared" si="17"/>
        <v>-1567</v>
      </c>
      <c r="L214" s="10">
        <f t="shared" si="18"/>
        <v>87859725321.499054</v>
      </c>
      <c r="M214" s="4">
        <f t="shared" si="19"/>
        <v>-142465425.56684157</v>
      </c>
    </row>
    <row r="215" spans="1:13" x14ac:dyDescent="0.2">
      <c r="A215" s="1">
        <v>0</v>
      </c>
      <c r="B215">
        <v>3</v>
      </c>
      <c r="C215">
        <v>3</v>
      </c>
      <c r="D215">
        <v>1850000</v>
      </c>
      <c r="E215">
        <v>2005</v>
      </c>
      <c r="F215">
        <v>1353</v>
      </c>
      <c r="G215">
        <v>1367</v>
      </c>
      <c r="H215">
        <v>8</v>
      </c>
      <c r="I215" s="4">
        <f t="shared" si="15"/>
        <v>17407</v>
      </c>
      <c r="J215" s="6">
        <f t="shared" si="16"/>
        <v>1263741.6181478193</v>
      </c>
      <c r="K215" s="8">
        <f t="shared" si="17"/>
        <v>-1345</v>
      </c>
      <c r="L215" s="10">
        <f t="shared" si="18"/>
        <v>20270415555.091022</v>
      </c>
      <c r="M215" s="4">
        <f t="shared" si="19"/>
        <v>-30082077.636614587</v>
      </c>
    </row>
    <row r="216" spans="1:13" x14ac:dyDescent="0.2">
      <c r="A216" s="1">
        <v>0</v>
      </c>
      <c r="B216">
        <v>3</v>
      </c>
      <c r="C216">
        <v>3</v>
      </c>
      <c r="D216">
        <v>1850000</v>
      </c>
      <c r="E216">
        <v>2005</v>
      </c>
      <c r="F216">
        <v>1353</v>
      </c>
      <c r="G216">
        <v>1367</v>
      </c>
      <c r="H216">
        <v>10</v>
      </c>
      <c r="I216" s="4">
        <f t="shared" si="15"/>
        <v>21417</v>
      </c>
      <c r="J216" s="6">
        <f t="shared" si="16"/>
        <v>1579677.0226847739</v>
      </c>
      <c r="K216" s="8">
        <f t="shared" si="17"/>
        <v>-1343</v>
      </c>
      <c r="L216" s="10">
        <f t="shared" si="18"/>
        <v>31672524304.829716</v>
      </c>
      <c r="M216" s="4">
        <f t="shared" si="19"/>
        <v>-46933353.004151233</v>
      </c>
    </row>
    <row r="217" spans="1:13" x14ac:dyDescent="0.2">
      <c r="A217" s="1">
        <v>0</v>
      </c>
      <c r="B217">
        <v>2</v>
      </c>
      <c r="C217">
        <v>2</v>
      </c>
      <c r="D217">
        <v>1995000</v>
      </c>
      <c r="E217">
        <v>1986</v>
      </c>
      <c r="F217">
        <v>1406</v>
      </c>
      <c r="G217">
        <v>1419</v>
      </c>
      <c r="H217">
        <v>14</v>
      </c>
      <c r="I217" s="4">
        <f t="shared" si="15"/>
        <v>29223</v>
      </c>
      <c r="J217" s="6">
        <f t="shared" si="16"/>
        <v>2340205.4140011002</v>
      </c>
      <c r="K217" s="8">
        <f t="shared" si="17"/>
        <v>-1392</v>
      </c>
      <c r="L217" s="10">
        <f t="shared" si="18"/>
        <v>65067071330.886597</v>
      </c>
      <c r="M217" s="4">
        <f t="shared" si="19"/>
        <v>-107769174.89827205</v>
      </c>
    </row>
    <row r="218" spans="1:13" x14ac:dyDescent="0.2">
      <c r="A218" s="1">
        <v>0</v>
      </c>
      <c r="B218">
        <v>2</v>
      </c>
      <c r="C218">
        <v>2</v>
      </c>
      <c r="D218">
        <v>2900000</v>
      </c>
      <c r="E218">
        <v>1987</v>
      </c>
      <c r="F218">
        <v>1600</v>
      </c>
      <c r="G218">
        <v>1813</v>
      </c>
      <c r="H218">
        <v>24</v>
      </c>
      <c r="I218" s="4">
        <f t="shared" si="15"/>
        <v>49501</v>
      </c>
      <c r="J218" s="6">
        <f t="shared" si="16"/>
        <v>5467891.9680000003</v>
      </c>
      <c r="K218" s="8">
        <f t="shared" si="17"/>
        <v>-1576</v>
      </c>
      <c r="L218" s="10">
        <f t="shared" si="18"/>
        <v>260752832169.98401</v>
      </c>
      <c r="M218" s="4">
        <f t="shared" si="19"/>
        <v>-710778705.65579855</v>
      </c>
    </row>
    <row r="219" spans="1:13" x14ac:dyDescent="0.2">
      <c r="A219" s="1">
        <v>0</v>
      </c>
      <c r="B219">
        <v>2</v>
      </c>
      <c r="C219">
        <v>2</v>
      </c>
      <c r="D219">
        <v>2499000</v>
      </c>
      <c r="E219">
        <v>2004</v>
      </c>
      <c r="F219">
        <v>1658</v>
      </c>
      <c r="G219">
        <v>1507</v>
      </c>
      <c r="H219">
        <v>24</v>
      </c>
      <c r="I219" s="4">
        <f t="shared" si="15"/>
        <v>49603</v>
      </c>
      <c r="J219" s="6">
        <f t="shared" si="16"/>
        <v>4626660.6368696457</v>
      </c>
      <c r="K219" s="8">
        <f t="shared" si="17"/>
        <v>-1634</v>
      </c>
      <c r="L219" s="10">
        <f t="shared" si="18"/>
        <v>222523869990.88248</v>
      </c>
      <c r="M219" s="4">
        <f t="shared" si="19"/>
        <v>-541933596.72918665</v>
      </c>
    </row>
    <row r="220" spans="1:13" x14ac:dyDescent="0.2">
      <c r="A220" s="1">
        <v>0</v>
      </c>
      <c r="B220">
        <v>2</v>
      </c>
      <c r="C220">
        <v>2</v>
      </c>
      <c r="D220">
        <v>1575000</v>
      </c>
      <c r="E220">
        <v>1930</v>
      </c>
      <c r="F220">
        <v>1324</v>
      </c>
      <c r="G220">
        <v>1190</v>
      </c>
      <c r="H220">
        <v>33</v>
      </c>
      <c r="I220" s="4">
        <f t="shared" si="15"/>
        <v>64880</v>
      </c>
      <c r="J220" s="6">
        <f t="shared" si="16"/>
        <v>4489063.8445298551</v>
      </c>
      <c r="K220" s="8">
        <f t="shared" si="17"/>
        <v>-1291</v>
      </c>
      <c r="L220" s="10">
        <f t="shared" si="18"/>
        <v>285908476258.10645</v>
      </c>
      <c r="M220" s="4">
        <f t="shared" si="19"/>
        <v>-346724870.25362009</v>
      </c>
    </row>
    <row r="221" spans="1:13" x14ac:dyDescent="0.2">
      <c r="A221" s="1">
        <v>0</v>
      </c>
      <c r="B221">
        <v>3</v>
      </c>
      <c r="C221">
        <v>3</v>
      </c>
      <c r="D221">
        <v>1495000</v>
      </c>
      <c r="E221">
        <v>1990</v>
      </c>
      <c r="F221">
        <v>1360</v>
      </c>
      <c r="G221">
        <v>1099</v>
      </c>
      <c r="H221">
        <v>0</v>
      </c>
      <c r="I221" s="4">
        <f t="shared" si="15"/>
        <v>1099</v>
      </c>
      <c r="J221" s="6">
        <f t="shared" si="16"/>
        <v>0</v>
      </c>
      <c r="K221" s="8">
        <f t="shared" si="17"/>
        <v>-1360</v>
      </c>
      <c r="L221" s="10">
        <f t="shared" si="18"/>
        <v>0</v>
      </c>
      <c r="M221" s="4">
        <f t="shared" si="19"/>
        <v>0</v>
      </c>
    </row>
    <row r="222" spans="1:13" x14ac:dyDescent="0.2">
      <c r="A222" s="1">
        <v>0</v>
      </c>
      <c r="B222">
        <v>1</v>
      </c>
      <c r="C222">
        <v>1</v>
      </c>
      <c r="D222">
        <v>529000</v>
      </c>
      <c r="E222">
        <v>1986</v>
      </c>
      <c r="F222">
        <v>650</v>
      </c>
      <c r="G222">
        <v>814</v>
      </c>
      <c r="H222">
        <v>0</v>
      </c>
      <c r="I222" s="4">
        <f t="shared" si="15"/>
        <v>814</v>
      </c>
      <c r="J222" s="6">
        <f t="shared" si="16"/>
        <v>0</v>
      </c>
      <c r="K222" s="8">
        <f t="shared" si="17"/>
        <v>-650</v>
      </c>
      <c r="L222" s="10">
        <f t="shared" si="18"/>
        <v>0</v>
      </c>
      <c r="M222" s="4">
        <f t="shared" si="19"/>
        <v>0</v>
      </c>
    </row>
    <row r="223" spans="1:13" x14ac:dyDescent="0.2">
      <c r="A223" s="1">
        <v>0</v>
      </c>
      <c r="B223">
        <v>3</v>
      </c>
      <c r="C223">
        <v>3</v>
      </c>
      <c r="D223">
        <v>2695000</v>
      </c>
      <c r="E223">
        <v>2006</v>
      </c>
      <c r="F223">
        <v>1991</v>
      </c>
      <c r="G223">
        <v>1354</v>
      </c>
      <c r="H223">
        <v>1</v>
      </c>
      <c r="I223" s="4">
        <f t="shared" si="15"/>
        <v>3360</v>
      </c>
      <c r="J223" s="6">
        <f t="shared" si="16"/>
        <v>189803.92218692266</v>
      </c>
      <c r="K223" s="8">
        <f t="shared" si="17"/>
        <v>-1990</v>
      </c>
      <c r="L223" s="10">
        <f t="shared" si="18"/>
        <v>380746667.90696687</v>
      </c>
      <c r="M223" s="4">
        <f t="shared" si="19"/>
        <v>-1217864.9177040523</v>
      </c>
    </row>
    <row r="224" spans="1:13" x14ac:dyDescent="0.2">
      <c r="A224" s="1">
        <v>0</v>
      </c>
      <c r="B224">
        <v>3</v>
      </c>
      <c r="C224">
        <v>3</v>
      </c>
      <c r="D224">
        <v>2695000</v>
      </c>
      <c r="E224">
        <v>2006</v>
      </c>
      <c r="F224">
        <v>1991</v>
      </c>
      <c r="G224">
        <v>1354</v>
      </c>
      <c r="H224">
        <v>1</v>
      </c>
      <c r="I224" s="4">
        <f t="shared" si="15"/>
        <v>3360</v>
      </c>
      <c r="J224" s="6">
        <f t="shared" si="16"/>
        <v>189803.92218692266</v>
      </c>
      <c r="K224" s="8">
        <f t="shared" si="17"/>
        <v>-1990</v>
      </c>
      <c r="L224" s="10">
        <f t="shared" si="18"/>
        <v>380746667.90696687</v>
      </c>
      <c r="M224" s="4">
        <f t="shared" si="19"/>
        <v>-1217864.9177040523</v>
      </c>
    </row>
    <row r="225" spans="1:13" x14ac:dyDescent="0.2">
      <c r="A225" s="1">
        <v>0</v>
      </c>
      <c r="B225">
        <v>4</v>
      </c>
      <c r="C225">
        <v>3</v>
      </c>
      <c r="D225">
        <v>3895000</v>
      </c>
      <c r="E225">
        <v>2001</v>
      </c>
      <c r="F225">
        <v>2277</v>
      </c>
      <c r="G225">
        <v>1711</v>
      </c>
      <c r="H225">
        <v>0</v>
      </c>
      <c r="I225" s="4">
        <f t="shared" si="15"/>
        <v>1711</v>
      </c>
      <c r="J225" s="6">
        <f t="shared" si="16"/>
        <v>0</v>
      </c>
      <c r="K225" s="8">
        <f t="shared" si="17"/>
        <v>-2277</v>
      </c>
      <c r="L225" s="10">
        <f t="shared" si="18"/>
        <v>0</v>
      </c>
      <c r="M225" s="4">
        <f t="shared" si="19"/>
        <v>0</v>
      </c>
    </row>
    <row r="226" spans="1:13" x14ac:dyDescent="0.2">
      <c r="A226" s="1">
        <v>1</v>
      </c>
      <c r="B226">
        <v>1</v>
      </c>
      <c r="C226">
        <v>1</v>
      </c>
      <c r="D226">
        <v>550000</v>
      </c>
      <c r="E226">
        <v>1982</v>
      </c>
      <c r="F226">
        <v>724</v>
      </c>
      <c r="G226">
        <v>760</v>
      </c>
      <c r="H226">
        <v>24</v>
      </c>
      <c r="I226" s="4">
        <f t="shared" si="15"/>
        <v>48328</v>
      </c>
      <c r="J226" s="6">
        <f t="shared" si="16"/>
        <v>1541860.2255733411</v>
      </c>
      <c r="K226" s="8">
        <f t="shared" si="17"/>
        <v>-700</v>
      </c>
      <c r="L226" s="10">
        <f t="shared" si="18"/>
        <v>73343207210.072693</v>
      </c>
      <c r="M226" s="4">
        <f t="shared" si="19"/>
        <v>-16841151.77008564</v>
      </c>
    </row>
    <row r="227" spans="1:13" x14ac:dyDescent="0.2">
      <c r="A227" s="1">
        <v>1</v>
      </c>
      <c r="B227">
        <v>2</v>
      </c>
      <c r="C227">
        <v>2</v>
      </c>
      <c r="D227">
        <v>849000</v>
      </c>
      <c r="E227">
        <v>1982</v>
      </c>
      <c r="F227">
        <v>1030</v>
      </c>
      <c r="G227">
        <v>824</v>
      </c>
      <c r="H227">
        <v>24</v>
      </c>
      <c r="I227" s="4">
        <f t="shared" si="15"/>
        <v>48392</v>
      </c>
      <c r="J227" s="6">
        <f t="shared" si="16"/>
        <v>1993921.0304838968</v>
      </c>
      <c r="K227" s="8">
        <f t="shared" si="17"/>
        <v>-1006</v>
      </c>
      <c r="L227" s="10">
        <f t="shared" si="18"/>
        <v>94846835578.058014</v>
      </c>
      <c r="M227" s="4">
        <f t="shared" si="19"/>
        <v>-48314743.673732005</v>
      </c>
    </row>
    <row r="228" spans="1:13" x14ac:dyDescent="0.2">
      <c r="A228" s="1">
        <v>1</v>
      </c>
      <c r="B228">
        <v>3</v>
      </c>
      <c r="C228">
        <v>2</v>
      </c>
      <c r="D228">
        <v>1750000</v>
      </c>
      <c r="E228">
        <v>1900</v>
      </c>
      <c r="F228">
        <v>2950</v>
      </c>
      <c r="G228">
        <v>593</v>
      </c>
      <c r="H228">
        <v>26</v>
      </c>
      <c r="I228" s="4">
        <f t="shared" si="15"/>
        <v>49993</v>
      </c>
      <c r="J228" s="6">
        <f t="shared" si="16"/>
        <v>2630812.7477261079</v>
      </c>
      <c r="K228" s="8">
        <f t="shared" si="17"/>
        <v>-2924</v>
      </c>
      <c r="L228" s="10">
        <f t="shared" si="18"/>
        <v>129962149737.66974</v>
      </c>
      <c r="M228" s="4">
        <f t="shared" si="19"/>
        <v>-396628088.0512166</v>
      </c>
    </row>
    <row r="229" spans="1:13" x14ac:dyDescent="0.2">
      <c r="A229" s="1">
        <v>1</v>
      </c>
      <c r="B229">
        <v>1</v>
      </c>
      <c r="C229">
        <v>1</v>
      </c>
      <c r="D229">
        <v>799000</v>
      </c>
      <c r="E229">
        <v>2008</v>
      </c>
      <c r="F229">
        <v>847</v>
      </c>
      <c r="G229">
        <v>943</v>
      </c>
      <c r="H229">
        <v>29</v>
      </c>
      <c r="I229" s="4">
        <f t="shared" si="15"/>
        <v>59175</v>
      </c>
      <c r="J229" s="6">
        <f t="shared" si="16"/>
        <v>2500358.5116766482</v>
      </c>
      <c r="K229" s="8">
        <f t="shared" si="17"/>
        <v>-818</v>
      </c>
      <c r="L229" s="10">
        <f t="shared" si="18"/>
        <v>145600876851.95459</v>
      </c>
      <c r="M229" s="4">
        <f t="shared" si="19"/>
        <v>-56756451.695137411</v>
      </c>
    </row>
    <row r="230" spans="1:13" x14ac:dyDescent="0.2">
      <c r="A230" s="1">
        <v>1</v>
      </c>
      <c r="B230">
        <v>1</v>
      </c>
      <c r="C230">
        <v>1.5</v>
      </c>
      <c r="D230">
        <v>899000</v>
      </c>
      <c r="E230">
        <v>1997</v>
      </c>
      <c r="F230">
        <v>1453</v>
      </c>
      <c r="G230">
        <v>619</v>
      </c>
      <c r="H230">
        <v>3</v>
      </c>
      <c r="I230" s="4">
        <f t="shared" si="15"/>
        <v>6610</v>
      </c>
      <c r="J230" s="6">
        <f t="shared" si="16"/>
        <v>222379.93510113502</v>
      </c>
      <c r="K230" s="8">
        <f t="shared" si="17"/>
        <v>-1450</v>
      </c>
      <c r="L230" s="10">
        <f t="shared" si="18"/>
        <v>1332278191.1908998</v>
      </c>
      <c r="M230" s="4">
        <f t="shared" si="19"/>
        <v>-1035794.9174919892</v>
      </c>
    </row>
    <row r="231" spans="1:13" x14ac:dyDescent="0.2">
      <c r="A231" s="1">
        <v>1</v>
      </c>
      <c r="B231">
        <v>1</v>
      </c>
      <c r="C231">
        <v>1</v>
      </c>
      <c r="D231">
        <v>598000</v>
      </c>
      <c r="E231">
        <v>2005</v>
      </c>
      <c r="F231">
        <v>534</v>
      </c>
      <c r="G231">
        <v>1120</v>
      </c>
      <c r="H231">
        <v>5</v>
      </c>
      <c r="I231" s="4">
        <f t="shared" si="15"/>
        <v>11145</v>
      </c>
      <c r="J231" s="6">
        <f t="shared" si="16"/>
        <v>406545.86087413854</v>
      </c>
      <c r="K231" s="8">
        <f t="shared" si="17"/>
        <v>-529</v>
      </c>
      <c r="L231" s="10">
        <f t="shared" si="18"/>
        <v>4075622255.2632389</v>
      </c>
      <c r="M231" s="4">
        <f t="shared" si="19"/>
        <v>-768956.80395177612</v>
      </c>
    </row>
    <row r="232" spans="1:13" x14ac:dyDescent="0.2">
      <c r="A232" s="1">
        <v>1</v>
      </c>
      <c r="B232">
        <v>1</v>
      </c>
      <c r="C232">
        <v>2</v>
      </c>
      <c r="D232">
        <v>1088000</v>
      </c>
      <c r="E232">
        <v>1998</v>
      </c>
      <c r="F232">
        <v>1086</v>
      </c>
      <c r="G232">
        <v>1002</v>
      </c>
      <c r="H232">
        <v>6</v>
      </c>
      <c r="I232" s="4">
        <f t="shared" si="15"/>
        <v>12990</v>
      </c>
      <c r="J232" s="6">
        <f t="shared" si="16"/>
        <v>622421.76792137348</v>
      </c>
      <c r="K232" s="8">
        <f t="shared" si="17"/>
        <v>-1080</v>
      </c>
      <c r="L232" s="10">
        <f t="shared" si="18"/>
        <v>7461592153.8414259</v>
      </c>
      <c r="M232" s="4">
        <f t="shared" si="19"/>
        <v>-5229200.8232304966</v>
      </c>
    </row>
    <row r="233" spans="1:13" x14ac:dyDescent="0.2">
      <c r="A233" s="1">
        <v>1</v>
      </c>
      <c r="B233">
        <v>1</v>
      </c>
      <c r="C233">
        <v>1</v>
      </c>
      <c r="D233">
        <v>798000</v>
      </c>
      <c r="E233">
        <v>1926</v>
      </c>
      <c r="F233">
        <v>769</v>
      </c>
      <c r="G233">
        <v>1038</v>
      </c>
      <c r="H233">
        <v>10</v>
      </c>
      <c r="I233" s="4">
        <f t="shared" si="15"/>
        <v>20298</v>
      </c>
      <c r="J233" s="6">
        <f t="shared" si="16"/>
        <v>904297.66964522714</v>
      </c>
      <c r="K233" s="8">
        <f t="shared" si="17"/>
        <v>-759</v>
      </c>
      <c r="L233" s="10">
        <f t="shared" si="18"/>
        <v>17416773117.367073</v>
      </c>
      <c r="M233" s="4">
        <f t="shared" si="19"/>
        <v>-6291635.0715553937</v>
      </c>
    </row>
    <row r="234" spans="1:13" x14ac:dyDescent="0.2">
      <c r="A234" s="1">
        <v>1</v>
      </c>
      <c r="B234">
        <v>1</v>
      </c>
      <c r="C234">
        <v>1</v>
      </c>
      <c r="D234">
        <v>798000</v>
      </c>
      <c r="E234">
        <v>1926</v>
      </c>
      <c r="F234">
        <v>769</v>
      </c>
      <c r="G234">
        <v>1038</v>
      </c>
      <c r="H234">
        <v>10</v>
      </c>
      <c r="I234" s="4">
        <f t="shared" si="15"/>
        <v>20298</v>
      </c>
      <c r="J234" s="6">
        <f t="shared" si="16"/>
        <v>904297.66964522714</v>
      </c>
      <c r="K234" s="8">
        <f t="shared" si="17"/>
        <v>-759</v>
      </c>
      <c r="L234" s="10">
        <f t="shared" si="18"/>
        <v>17416773117.367073</v>
      </c>
      <c r="M234" s="4">
        <f t="shared" si="19"/>
        <v>-6291635.0715553937</v>
      </c>
    </row>
    <row r="235" spans="1:13" x14ac:dyDescent="0.2">
      <c r="A235" s="1">
        <v>1</v>
      </c>
      <c r="B235">
        <v>1</v>
      </c>
      <c r="C235">
        <v>1</v>
      </c>
      <c r="D235">
        <v>1495000</v>
      </c>
      <c r="E235">
        <v>1927</v>
      </c>
      <c r="F235">
        <v>2275</v>
      </c>
      <c r="G235">
        <v>657</v>
      </c>
      <c r="H235">
        <v>10</v>
      </c>
      <c r="I235" s="4">
        <f t="shared" si="15"/>
        <v>19927</v>
      </c>
      <c r="J235" s="6">
        <f t="shared" si="16"/>
        <v>984480.13731382997</v>
      </c>
      <c r="K235" s="8">
        <f t="shared" si="17"/>
        <v>-2265</v>
      </c>
      <c r="L235" s="10">
        <f t="shared" si="18"/>
        <v>18970932246.037502</v>
      </c>
      <c r="M235" s="4">
        <f t="shared" si="19"/>
        <v>-38313271.302357525</v>
      </c>
    </row>
    <row r="236" spans="1:13" x14ac:dyDescent="0.2">
      <c r="A236" s="1">
        <v>1</v>
      </c>
      <c r="B236">
        <v>4</v>
      </c>
      <c r="C236">
        <v>4</v>
      </c>
      <c r="D236">
        <v>4300000</v>
      </c>
      <c r="E236">
        <v>2006</v>
      </c>
      <c r="F236">
        <v>3321</v>
      </c>
      <c r="G236">
        <v>1295</v>
      </c>
      <c r="H236">
        <v>10</v>
      </c>
      <c r="I236" s="4">
        <f t="shared" si="15"/>
        <v>21355</v>
      </c>
      <c r="J236" s="6">
        <f t="shared" si="16"/>
        <v>2344526.2224083836</v>
      </c>
      <c r="K236" s="8">
        <f t="shared" si="17"/>
        <v>-3311</v>
      </c>
      <c r="L236" s="10">
        <f t="shared" si="18"/>
        <v>47031196021.512177</v>
      </c>
      <c r="M236" s="4">
        <f t="shared" si="19"/>
        <v>-399360237.96449697</v>
      </c>
    </row>
    <row r="237" spans="1:13" x14ac:dyDescent="0.2">
      <c r="A237" s="1">
        <v>1</v>
      </c>
      <c r="B237">
        <v>1</v>
      </c>
      <c r="C237">
        <v>1</v>
      </c>
      <c r="D237">
        <v>699000</v>
      </c>
      <c r="E237">
        <v>2008</v>
      </c>
      <c r="F237">
        <v>756</v>
      </c>
      <c r="G237">
        <v>925</v>
      </c>
      <c r="H237">
        <v>12</v>
      </c>
      <c r="I237" s="4">
        <f t="shared" si="15"/>
        <v>25021</v>
      </c>
      <c r="J237" s="6">
        <f t="shared" si="16"/>
        <v>958814.87889799965</v>
      </c>
      <c r="K237" s="8">
        <f t="shared" si="17"/>
        <v>-744</v>
      </c>
      <c r="L237" s="10">
        <f t="shared" si="18"/>
        <v>23103603321.926201</v>
      </c>
      <c r="M237" s="4">
        <f t="shared" si="19"/>
        <v>-7166069.1323014172</v>
      </c>
    </row>
    <row r="238" spans="1:13" x14ac:dyDescent="0.2">
      <c r="A238" s="1">
        <v>1</v>
      </c>
      <c r="B238">
        <v>2</v>
      </c>
      <c r="C238">
        <v>2</v>
      </c>
      <c r="D238">
        <v>334905</v>
      </c>
      <c r="E238">
        <v>2000</v>
      </c>
      <c r="F238">
        <v>1047</v>
      </c>
      <c r="G238">
        <v>320</v>
      </c>
      <c r="H238">
        <v>12</v>
      </c>
      <c r="I238" s="4">
        <f t="shared" si="15"/>
        <v>24320</v>
      </c>
      <c r="J238" s="6">
        <f t="shared" si="16"/>
        <v>390351.14128758514</v>
      </c>
      <c r="K238" s="8">
        <f t="shared" si="17"/>
        <v>-1035</v>
      </c>
      <c r="L238" s="10">
        <f t="shared" si="18"/>
        <v>9368427390.9020424</v>
      </c>
      <c r="M238" s="4">
        <f t="shared" si="19"/>
        <v>-1936777.9825207011</v>
      </c>
    </row>
    <row r="239" spans="1:13" x14ac:dyDescent="0.2">
      <c r="A239" s="1">
        <v>1</v>
      </c>
      <c r="B239">
        <v>1</v>
      </c>
      <c r="C239">
        <v>1.5</v>
      </c>
      <c r="D239">
        <v>849000</v>
      </c>
      <c r="E239">
        <v>1996</v>
      </c>
      <c r="F239">
        <v>1127</v>
      </c>
      <c r="G239">
        <v>753</v>
      </c>
      <c r="H239">
        <v>13</v>
      </c>
      <c r="I239" s="4">
        <f t="shared" si="15"/>
        <v>26701</v>
      </c>
      <c r="J239" s="6">
        <f t="shared" si="16"/>
        <v>1032407.5569235017</v>
      </c>
      <c r="K239" s="8">
        <f t="shared" si="17"/>
        <v>-1114</v>
      </c>
      <c r="L239" s="10">
        <f t="shared" si="18"/>
        <v>26788911287.051022</v>
      </c>
      <c r="M239" s="4">
        <f t="shared" si="19"/>
        <v>-15111205.375386354</v>
      </c>
    </row>
    <row r="240" spans="1:13" x14ac:dyDescent="0.2">
      <c r="A240" s="1">
        <v>1</v>
      </c>
      <c r="B240">
        <v>1</v>
      </c>
      <c r="C240">
        <v>1.5</v>
      </c>
      <c r="D240">
        <v>1365000</v>
      </c>
      <c r="E240">
        <v>1996</v>
      </c>
      <c r="F240">
        <v>1607</v>
      </c>
      <c r="G240">
        <v>849</v>
      </c>
      <c r="H240">
        <v>13</v>
      </c>
      <c r="I240" s="4">
        <f t="shared" si="15"/>
        <v>26797</v>
      </c>
      <c r="J240" s="6">
        <f t="shared" si="16"/>
        <v>1389984.2177744329</v>
      </c>
      <c r="K240" s="8">
        <f t="shared" si="17"/>
        <v>-1594</v>
      </c>
      <c r="L240" s="10">
        <f t="shared" si="18"/>
        <v>36067310482.810982</v>
      </c>
      <c r="M240" s="4">
        <f t="shared" si="19"/>
        <v>-46804314.600305893</v>
      </c>
    </row>
    <row r="241" spans="1:13" x14ac:dyDescent="0.2">
      <c r="A241" s="1">
        <v>1</v>
      </c>
      <c r="B241">
        <v>1</v>
      </c>
      <c r="C241">
        <v>1</v>
      </c>
      <c r="D241">
        <v>649000</v>
      </c>
      <c r="E241">
        <v>2011</v>
      </c>
      <c r="F241">
        <v>674</v>
      </c>
      <c r="G241">
        <v>963</v>
      </c>
      <c r="H241">
        <v>14</v>
      </c>
      <c r="I241" s="4">
        <f t="shared" si="15"/>
        <v>29117</v>
      </c>
      <c r="J241" s="6">
        <f t="shared" si="16"/>
        <v>1099601.0840719533</v>
      </c>
      <c r="K241" s="8">
        <f t="shared" si="17"/>
        <v>-660</v>
      </c>
      <c r="L241" s="10">
        <f t="shared" si="18"/>
        <v>30958168920.961769</v>
      </c>
      <c r="M241" s="4">
        <f t="shared" si="19"/>
        <v>-7908881.3618507087</v>
      </c>
    </row>
    <row r="242" spans="1:13" x14ac:dyDescent="0.2">
      <c r="A242" s="1">
        <v>1</v>
      </c>
      <c r="B242">
        <v>3</v>
      </c>
      <c r="C242">
        <v>3</v>
      </c>
      <c r="D242">
        <v>1245000</v>
      </c>
      <c r="E242">
        <v>1907</v>
      </c>
      <c r="F242">
        <v>1503</v>
      </c>
      <c r="G242">
        <v>828</v>
      </c>
      <c r="H242">
        <v>23</v>
      </c>
      <c r="I242" s="4">
        <f t="shared" si="15"/>
        <v>44689</v>
      </c>
      <c r="J242" s="6">
        <f t="shared" si="16"/>
        <v>2319468.887128328</v>
      </c>
      <c r="K242" s="8">
        <f t="shared" si="17"/>
        <v>-1480</v>
      </c>
      <c r="L242" s="10">
        <f t="shared" si="18"/>
        <v>101734224858.33559</v>
      </c>
      <c r="M242" s="4">
        <f t="shared" si="19"/>
        <v>-111801932.44627351</v>
      </c>
    </row>
    <row r="243" spans="1:13" x14ac:dyDescent="0.2">
      <c r="A243" s="1">
        <v>1</v>
      </c>
      <c r="B243">
        <v>1</v>
      </c>
      <c r="C243">
        <v>1</v>
      </c>
      <c r="D243">
        <v>649000</v>
      </c>
      <c r="E243">
        <v>1983</v>
      </c>
      <c r="F243">
        <v>850</v>
      </c>
      <c r="G243">
        <v>764</v>
      </c>
      <c r="H243">
        <v>163</v>
      </c>
      <c r="I243" s="4">
        <f t="shared" si="15"/>
        <v>323993</v>
      </c>
      <c r="J243" s="6">
        <f t="shared" si="16"/>
        <v>11406208.712302288</v>
      </c>
      <c r="K243" s="8">
        <f t="shared" si="17"/>
        <v>-687</v>
      </c>
      <c r="L243" s="10">
        <f t="shared" si="18"/>
        <v>3686817435868.7563</v>
      </c>
      <c r="M243" s="4">
        <f t="shared" si="19"/>
        <v>-980402092.52787197</v>
      </c>
    </row>
    <row r="244" spans="1:13" x14ac:dyDescent="0.2">
      <c r="A244" s="1">
        <v>1</v>
      </c>
      <c r="B244">
        <v>2</v>
      </c>
      <c r="C244">
        <v>2</v>
      </c>
      <c r="D244">
        <v>1700000</v>
      </c>
      <c r="E244">
        <v>1987</v>
      </c>
      <c r="F244">
        <v>1250</v>
      </c>
      <c r="G244">
        <v>1360</v>
      </c>
      <c r="H244">
        <v>11</v>
      </c>
      <c r="I244" s="4">
        <f t="shared" si="15"/>
        <v>23217</v>
      </c>
      <c r="J244" s="6">
        <f t="shared" si="16"/>
        <v>1661642.104504192</v>
      </c>
      <c r="K244" s="8">
        <f t="shared" si="17"/>
        <v>-1239</v>
      </c>
      <c r="L244" s="10">
        <f t="shared" si="18"/>
        <v>36318511478.148125</v>
      </c>
      <c r="M244" s="4">
        <f t="shared" si="19"/>
        <v>-45624637.959861621</v>
      </c>
    </row>
    <row r="245" spans="1:13" x14ac:dyDescent="0.2">
      <c r="A245" s="1">
        <v>1</v>
      </c>
      <c r="B245">
        <v>2</v>
      </c>
      <c r="C245">
        <v>2</v>
      </c>
      <c r="D245">
        <v>1980000</v>
      </c>
      <c r="E245">
        <v>2009</v>
      </c>
      <c r="F245">
        <v>1469</v>
      </c>
      <c r="G245">
        <v>1348</v>
      </c>
      <c r="H245">
        <v>0</v>
      </c>
      <c r="I245" s="4">
        <f t="shared" si="15"/>
        <v>1348</v>
      </c>
      <c r="J245" s="6">
        <f t="shared" si="16"/>
        <v>0</v>
      </c>
      <c r="K245" s="8">
        <f t="shared" si="17"/>
        <v>-1469</v>
      </c>
      <c r="L245" s="10">
        <f t="shared" si="18"/>
        <v>0</v>
      </c>
      <c r="M245" s="4">
        <f t="shared" si="19"/>
        <v>0</v>
      </c>
    </row>
    <row r="246" spans="1:13" x14ac:dyDescent="0.2">
      <c r="A246" s="1">
        <v>1</v>
      </c>
      <c r="B246">
        <v>2</v>
      </c>
      <c r="C246">
        <v>2</v>
      </c>
      <c r="D246">
        <v>3600000</v>
      </c>
      <c r="E246">
        <v>2009</v>
      </c>
      <c r="F246">
        <v>1652</v>
      </c>
      <c r="G246">
        <v>2179</v>
      </c>
      <c r="H246">
        <v>0</v>
      </c>
      <c r="I246" s="4">
        <f t="shared" si="15"/>
        <v>2179</v>
      </c>
      <c r="J246" s="6">
        <f t="shared" si="16"/>
        <v>0</v>
      </c>
      <c r="K246" s="8">
        <f t="shared" si="17"/>
        <v>-1652</v>
      </c>
      <c r="L246" s="10">
        <f t="shared" si="18"/>
        <v>0</v>
      </c>
      <c r="M246" s="4">
        <f t="shared" si="19"/>
        <v>0</v>
      </c>
    </row>
    <row r="247" spans="1:13" x14ac:dyDescent="0.2">
      <c r="A247" s="1">
        <v>1</v>
      </c>
      <c r="B247">
        <v>2</v>
      </c>
      <c r="C247">
        <v>3</v>
      </c>
      <c r="D247">
        <v>4995000</v>
      </c>
      <c r="E247">
        <v>2009</v>
      </c>
      <c r="F247">
        <v>2230</v>
      </c>
      <c r="G247">
        <v>2240</v>
      </c>
      <c r="H247">
        <v>0</v>
      </c>
      <c r="I247" s="4">
        <f t="shared" si="15"/>
        <v>2240</v>
      </c>
      <c r="J247" s="6">
        <f t="shared" si="16"/>
        <v>0</v>
      </c>
      <c r="K247" s="8">
        <f t="shared" si="17"/>
        <v>-2230</v>
      </c>
      <c r="L247" s="10">
        <f t="shared" si="18"/>
        <v>0</v>
      </c>
      <c r="M247" s="4">
        <f t="shared" si="19"/>
        <v>0</v>
      </c>
    </row>
    <row r="248" spans="1:13" x14ac:dyDescent="0.2">
      <c r="A248" s="1">
        <v>1</v>
      </c>
      <c r="B248">
        <v>2</v>
      </c>
      <c r="C248">
        <v>2</v>
      </c>
      <c r="D248">
        <v>1298000</v>
      </c>
      <c r="E248">
        <v>2008</v>
      </c>
      <c r="F248">
        <v>1159</v>
      </c>
      <c r="G248">
        <v>1120</v>
      </c>
      <c r="H248">
        <v>0</v>
      </c>
      <c r="I248" s="4">
        <f t="shared" si="15"/>
        <v>1120</v>
      </c>
      <c r="J248" s="6">
        <f t="shared" si="16"/>
        <v>0</v>
      </c>
      <c r="K248" s="8">
        <f t="shared" si="17"/>
        <v>-1159</v>
      </c>
      <c r="L248" s="10">
        <f t="shared" si="18"/>
        <v>0</v>
      </c>
      <c r="M248" s="4">
        <f t="shared" si="19"/>
        <v>0</v>
      </c>
    </row>
    <row r="249" spans="1:13" x14ac:dyDescent="0.2">
      <c r="A249" s="1">
        <v>1</v>
      </c>
      <c r="B249">
        <v>2</v>
      </c>
      <c r="C249">
        <v>2</v>
      </c>
      <c r="D249">
        <v>2149000</v>
      </c>
      <c r="E249">
        <v>2008</v>
      </c>
      <c r="F249">
        <v>1317</v>
      </c>
      <c r="G249">
        <v>1632</v>
      </c>
      <c r="H249">
        <v>0</v>
      </c>
      <c r="I249" s="4">
        <f t="shared" si="15"/>
        <v>1632</v>
      </c>
      <c r="J249" s="6">
        <f t="shared" si="16"/>
        <v>0</v>
      </c>
      <c r="K249" s="8">
        <f t="shared" si="17"/>
        <v>-1317</v>
      </c>
      <c r="L249" s="10">
        <f t="shared" si="18"/>
        <v>0</v>
      </c>
      <c r="M249" s="4">
        <f t="shared" si="19"/>
        <v>0</v>
      </c>
    </row>
    <row r="250" spans="1:13" x14ac:dyDescent="0.2">
      <c r="A250" s="1">
        <v>1</v>
      </c>
      <c r="B250">
        <v>3</v>
      </c>
      <c r="C250">
        <v>2</v>
      </c>
      <c r="D250">
        <v>1995000</v>
      </c>
      <c r="E250">
        <v>2006</v>
      </c>
      <c r="F250">
        <v>1362</v>
      </c>
      <c r="G250">
        <v>1465</v>
      </c>
      <c r="H250">
        <v>3</v>
      </c>
      <c r="I250" s="4">
        <f t="shared" si="15"/>
        <v>7483</v>
      </c>
      <c r="J250" s="6">
        <f t="shared" si="16"/>
        <v>509563.51115155511</v>
      </c>
      <c r="K250" s="8">
        <f t="shared" si="17"/>
        <v>-1359</v>
      </c>
      <c r="L250" s="10">
        <f t="shared" si="18"/>
        <v>3066553210.1100588</v>
      </c>
      <c r="M250" s="4">
        <f t="shared" si="19"/>
        <v>-4958656.500363959</v>
      </c>
    </row>
    <row r="251" spans="1:13" x14ac:dyDescent="0.2">
      <c r="A251" s="1">
        <v>1</v>
      </c>
      <c r="B251">
        <v>2</v>
      </c>
      <c r="C251">
        <v>2</v>
      </c>
      <c r="D251">
        <v>1650000</v>
      </c>
      <c r="E251">
        <v>1937</v>
      </c>
      <c r="F251">
        <v>1640</v>
      </c>
      <c r="G251">
        <v>1006</v>
      </c>
      <c r="H251">
        <v>7</v>
      </c>
      <c r="I251" s="4">
        <f t="shared" si="15"/>
        <v>14565</v>
      </c>
      <c r="J251" s="6">
        <f t="shared" si="16"/>
        <v>895919.17767949542</v>
      </c>
      <c r="K251" s="8">
        <f t="shared" si="17"/>
        <v>-1633</v>
      </c>
      <c r="L251" s="10">
        <f t="shared" si="18"/>
        <v>12147768130.156279</v>
      </c>
      <c r="M251" s="4">
        <f t="shared" si="19"/>
        <v>-19521706.796272948</v>
      </c>
    </row>
    <row r="252" spans="1:13" x14ac:dyDescent="0.2">
      <c r="A252" s="1">
        <v>1</v>
      </c>
      <c r="B252">
        <v>1</v>
      </c>
      <c r="C252">
        <v>1</v>
      </c>
      <c r="D252">
        <v>949000</v>
      </c>
      <c r="E252">
        <v>2010</v>
      </c>
      <c r="F252">
        <v>824</v>
      </c>
      <c r="G252">
        <v>1152</v>
      </c>
      <c r="H252">
        <v>8</v>
      </c>
      <c r="I252" s="4">
        <f t="shared" si="15"/>
        <v>17232</v>
      </c>
      <c r="J252" s="6">
        <f t="shared" si="16"/>
        <v>831107.03830898774</v>
      </c>
      <c r="K252" s="8">
        <f t="shared" si="17"/>
        <v>-816</v>
      </c>
      <c r="L252" s="10">
        <f t="shared" si="18"/>
        <v>13364201176.008522</v>
      </c>
      <c r="M252" s="4">
        <f t="shared" si="19"/>
        <v>-6172349.9175166124</v>
      </c>
    </row>
    <row r="253" spans="1:13" x14ac:dyDescent="0.2">
      <c r="A253" s="1">
        <v>1</v>
      </c>
      <c r="B253">
        <v>1</v>
      </c>
      <c r="C253">
        <v>1</v>
      </c>
      <c r="D253">
        <v>187518</v>
      </c>
      <c r="E253">
        <v>2000</v>
      </c>
      <c r="F253">
        <v>670</v>
      </c>
      <c r="G253">
        <v>280</v>
      </c>
      <c r="H253">
        <v>12</v>
      </c>
      <c r="I253" s="4">
        <f t="shared" si="15"/>
        <v>24280</v>
      </c>
      <c r="J253" s="6">
        <f t="shared" si="16"/>
        <v>273229.48718002223</v>
      </c>
      <c r="K253" s="8">
        <f t="shared" si="17"/>
        <v>-658</v>
      </c>
      <c r="L253" s="10">
        <f t="shared" si="18"/>
        <v>6557507692.3205338</v>
      </c>
      <c r="M253" s="4">
        <f t="shared" si="19"/>
        <v>-482568.34220992267</v>
      </c>
    </row>
    <row r="254" spans="1:13" x14ac:dyDescent="0.2">
      <c r="A254" s="1">
        <v>1</v>
      </c>
      <c r="B254">
        <v>3</v>
      </c>
      <c r="C254">
        <v>2.5</v>
      </c>
      <c r="D254">
        <v>1995000</v>
      </c>
      <c r="E254">
        <v>2008</v>
      </c>
      <c r="F254">
        <v>2354</v>
      </c>
      <c r="G254">
        <v>847</v>
      </c>
      <c r="H254">
        <v>23</v>
      </c>
      <c r="I254" s="4">
        <f t="shared" si="15"/>
        <v>47031</v>
      </c>
      <c r="J254" s="6">
        <f t="shared" si="16"/>
        <v>2969377.161259356</v>
      </c>
      <c r="K254" s="8">
        <f t="shared" si="17"/>
        <v>-2331</v>
      </c>
      <c r="L254" s="10">
        <f t="shared" si="18"/>
        <v>137137714815.60208</v>
      </c>
      <c r="M254" s="4">
        <f t="shared" si="19"/>
        <v>-380358604.06810021</v>
      </c>
    </row>
    <row r="255" spans="1:13" x14ac:dyDescent="0.2">
      <c r="A255" s="1">
        <v>1</v>
      </c>
      <c r="B255">
        <v>3</v>
      </c>
      <c r="C255">
        <v>2.5</v>
      </c>
      <c r="D255">
        <v>1995000</v>
      </c>
      <c r="E255">
        <v>2008</v>
      </c>
      <c r="F255">
        <v>2354</v>
      </c>
      <c r="G255">
        <v>847</v>
      </c>
      <c r="H255">
        <v>23</v>
      </c>
      <c r="I255" s="4">
        <f t="shared" si="15"/>
        <v>47031</v>
      </c>
      <c r="J255" s="6">
        <f t="shared" si="16"/>
        <v>2969377.161259356</v>
      </c>
      <c r="K255" s="8">
        <f t="shared" si="17"/>
        <v>-2331</v>
      </c>
      <c r="L255" s="10">
        <f t="shared" si="18"/>
        <v>137137714815.60208</v>
      </c>
      <c r="M255" s="4">
        <f t="shared" si="19"/>
        <v>-380358604.06810021</v>
      </c>
    </row>
    <row r="256" spans="1:13" x14ac:dyDescent="0.2">
      <c r="A256" s="1">
        <v>1</v>
      </c>
      <c r="B256">
        <v>2</v>
      </c>
      <c r="C256">
        <v>2</v>
      </c>
      <c r="D256">
        <v>2799000</v>
      </c>
      <c r="E256">
        <v>2008</v>
      </c>
      <c r="F256">
        <v>1328</v>
      </c>
      <c r="G256">
        <v>2108</v>
      </c>
      <c r="H256">
        <v>35</v>
      </c>
      <c r="I256" s="4">
        <f t="shared" si="15"/>
        <v>72388</v>
      </c>
      <c r="J256" s="6">
        <f t="shared" si="16"/>
        <v>8446729.3095865883</v>
      </c>
      <c r="K256" s="8">
        <f t="shared" si="17"/>
        <v>-1293</v>
      </c>
      <c r="L256" s="10">
        <f t="shared" si="18"/>
        <v>593636135877.74548</v>
      </c>
      <c r="M256" s="4">
        <f t="shared" si="19"/>
        <v>-1281365172.7860999</v>
      </c>
    </row>
    <row r="257" spans="1:13" x14ac:dyDescent="0.2">
      <c r="A257" s="1">
        <v>1</v>
      </c>
      <c r="B257">
        <v>2</v>
      </c>
      <c r="C257">
        <v>2.5</v>
      </c>
      <c r="D257">
        <v>1050000</v>
      </c>
      <c r="E257">
        <v>2000</v>
      </c>
      <c r="F257">
        <v>1640</v>
      </c>
      <c r="G257">
        <v>640</v>
      </c>
      <c r="H257">
        <v>2</v>
      </c>
      <c r="I257" s="4">
        <f t="shared" si="15"/>
        <v>4640</v>
      </c>
      <c r="J257" s="6">
        <f t="shared" si="16"/>
        <v>162848.13226778671</v>
      </c>
      <c r="K257" s="8">
        <f t="shared" si="17"/>
        <v>-1638</v>
      </c>
      <c r="L257" s="10">
        <f t="shared" si="18"/>
        <v>651392529.07114685</v>
      </c>
      <c r="M257" s="4">
        <f t="shared" si="19"/>
        <v>-668185.63191232167</v>
      </c>
    </row>
    <row r="258" spans="1:13" x14ac:dyDescent="0.2">
      <c r="A258" s="1">
        <v>1</v>
      </c>
      <c r="B258">
        <v>2</v>
      </c>
      <c r="C258">
        <v>2</v>
      </c>
      <c r="D258">
        <v>895000</v>
      </c>
      <c r="E258">
        <v>2006</v>
      </c>
      <c r="F258">
        <v>1113</v>
      </c>
      <c r="G258">
        <v>804</v>
      </c>
      <c r="H258">
        <v>3</v>
      </c>
      <c r="I258" s="4">
        <f t="shared" si="15"/>
        <v>6822</v>
      </c>
      <c r="J258" s="6">
        <f t="shared" si="16"/>
        <v>252799.24577527572</v>
      </c>
      <c r="K258" s="8">
        <f t="shared" si="17"/>
        <v>-1110</v>
      </c>
      <c r="L258" s="10">
        <f t="shared" si="18"/>
        <v>1521345861.0756092</v>
      </c>
      <c r="M258" s="4">
        <f t="shared" si="19"/>
        <v>-901415.7340979682</v>
      </c>
    </row>
    <row r="259" spans="1:13" x14ac:dyDescent="0.2">
      <c r="A259" s="1">
        <v>1</v>
      </c>
      <c r="B259">
        <v>1</v>
      </c>
      <c r="C259">
        <v>1</v>
      </c>
      <c r="D259">
        <v>998000</v>
      </c>
      <c r="E259">
        <v>2006</v>
      </c>
      <c r="F259">
        <v>872</v>
      </c>
      <c r="G259">
        <v>1144</v>
      </c>
      <c r="H259">
        <v>3</v>
      </c>
      <c r="I259" s="4">
        <f t="shared" ref="I259:I322" si="20">+(H259*E259)+G259</f>
        <v>7162</v>
      </c>
      <c r="J259" s="6">
        <f t="shared" ref="J259:J322" si="21">+(3.1416*G259*H259)*SQRT(F259)</f>
        <v>318387.79401706479</v>
      </c>
      <c r="K259" s="8">
        <f t="shared" ref="K259:K322" si="22">+H259-F259</f>
        <v>-869</v>
      </c>
      <c r="L259" s="10">
        <f t="shared" ref="L259:L322" si="23">+J259*E259*H259</f>
        <v>1916057744.3946958</v>
      </c>
      <c r="M259" s="4">
        <f t="shared" ref="M259:M322" si="24">(K259*L259/465743*D259)/3600000</f>
        <v>-991083.10777929786</v>
      </c>
    </row>
    <row r="260" spans="1:13" x14ac:dyDescent="0.2">
      <c r="A260" s="1">
        <v>1</v>
      </c>
      <c r="B260">
        <v>2</v>
      </c>
      <c r="C260">
        <v>2</v>
      </c>
      <c r="D260">
        <v>1659000</v>
      </c>
      <c r="E260">
        <v>2000</v>
      </c>
      <c r="F260">
        <v>1165</v>
      </c>
      <c r="G260">
        <v>1424</v>
      </c>
      <c r="H260">
        <v>4</v>
      </c>
      <c r="I260" s="4">
        <f t="shared" si="20"/>
        <v>9424</v>
      </c>
      <c r="J260" s="6">
        <f t="shared" si="21"/>
        <v>610778.62728889997</v>
      </c>
      <c r="K260" s="8">
        <f t="shared" si="22"/>
        <v>-1161</v>
      </c>
      <c r="L260" s="10">
        <f t="shared" si="23"/>
        <v>4886229018.3112001</v>
      </c>
      <c r="M260" s="4">
        <f t="shared" si="24"/>
        <v>-5613110.4409395214</v>
      </c>
    </row>
    <row r="261" spans="1:13" x14ac:dyDescent="0.2">
      <c r="A261" s="1">
        <v>1</v>
      </c>
      <c r="B261">
        <v>1</v>
      </c>
      <c r="C261">
        <v>1</v>
      </c>
      <c r="D261">
        <v>788000</v>
      </c>
      <c r="E261">
        <v>2004</v>
      </c>
      <c r="F261">
        <v>903</v>
      </c>
      <c r="G261">
        <v>873</v>
      </c>
      <c r="H261">
        <v>4</v>
      </c>
      <c r="I261" s="4">
        <f t="shared" si="20"/>
        <v>8889</v>
      </c>
      <c r="J261" s="6">
        <f t="shared" si="21"/>
        <v>329662.08301745454</v>
      </c>
      <c r="K261" s="8">
        <f t="shared" si="22"/>
        <v>-899</v>
      </c>
      <c r="L261" s="10">
        <f t="shared" si="23"/>
        <v>2642571257.4679155</v>
      </c>
      <c r="M261" s="4">
        <f t="shared" si="24"/>
        <v>-1116512.9872801579</v>
      </c>
    </row>
    <row r="262" spans="1:13" x14ac:dyDescent="0.2">
      <c r="A262" s="1">
        <v>1</v>
      </c>
      <c r="B262">
        <v>2</v>
      </c>
      <c r="C262">
        <v>2</v>
      </c>
      <c r="D262">
        <v>1395000</v>
      </c>
      <c r="E262">
        <v>2001</v>
      </c>
      <c r="F262">
        <v>1334</v>
      </c>
      <c r="G262">
        <v>1046</v>
      </c>
      <c r="H262">
        <v>4</v>
      </c>
      <c r="I262" s="4">
        <f t="shared" si="20"/>
        <v>9050</v>
      </c>
      <c r="J262" s="6">
        <f t="shared" si="21"/>
        <v>480087.58897297928</v>
      </c>
      <c r="K262" s="8">
        <f t="shared" si="22"/>
        <v>-1330</v>
      </c>
      <c r="L262" s="10">
        <f t="shared" si="23"/>
        <v>3842621062.1397262</v>
      </c>
      <c r="M262" s="4">
        <f t="shared" si="24"/>
        <v>-4252110.7776182601</v>
      </c>
    </row>
    <row r="263" spans="1:13" x14ac:dyDescent="0.2">
      <c r="A263" s="1">
        <v>1</v>
      </c>
      <c r="B263">
        <v>2</v>
      </c>
      <c r="C263">
        <v>2</v>
      </c>
      <c r="D263">
        <v>1299000</v>
      </c>
      <c r="E263">
        <v>2004</v>
      </c>
      <c r="F263">
        <v>1453</v>
      </c>
      <c r="G263">
        <v>894</v>
      </c>
      <c r="H263">
        <v>5</v>
      </c>
      <c r="I263" s="4">
        <f t="shared" si="20"/>
        <v>10914</v>
      </c>
      <c r="J263" s="6">
        <f t="shared" si="21"/>
        <v>535292.57399142371</v>
      </c>
      <c r="K263" s="8">
        <f t="shared" si="22"/>
        <v>-1448</v>
      </c>
      <c r="L263" s="10">
        <f t="shared" si="23"/>
        <v>5363631591.3940659</v>
      </c>
      <c r="M263" s="4">
        <f t="shared" si="24"/>
        <v>-6017108.1291946722</v>
      </c>
    </row>
    <row r="264" spans="1:13" x14ac:dyDescent="0.2">
      <c r="A264" s="1">
        <v>1</v>
      </c>
      <c r="B264">
        <v>2</v>
      </c>
      <c r="C264">
        <v>2.5</v>
      </c>
      <c r="D264">
        <v>850000</v>
      </c>
      <c r="E264">
        <v>2000</v>
      </c>
      <c r="F264">
        <v>1136</v>
      </c>
      <c r="G264">
        <v>748</v>
      </c>
      <c r="H264">
        <v>5</v>
      </c>
      <c r="I264" s="4">
        <f t="shared" si="20"/>
        <v>10748</v>
      </c>
      <c r="J264" s="6">
        <f t="shared" si="21"/>
        <v>396015.01822606626</v>
      </c>
      <c r="K264" s="8">
        <f t="shared" si="22"/>
        <v>-1131</v>
      </c>
      <c r="L264" s="10">
        <f t="shared" si="23"/>
        <v>3960150182.2606621</v>
      </c>
      <c r="M264" s="4">
        <f t="shared" si="24"/>
        <v>-2270619.4294303744</v>
      </c>
    </row>
    <row r="265" spans="1:13" x14ac:dyDescent="0.2">
      <c r="A265" s="1">
        <v>1</v>
      </c>
      <c r="B265">
        <v>3</v>
      </c>
      <c r="C265">
        <v>2.5</v>
      </c>
      <c r="D265">
        <v>2850000</v>
      </c>
      <c r="E265">
        <v>2013</v>
      </c>
      <c r="F265">
        <v>2075</v>
      </c>
      <c r="G265">
        <v>1373</v>
      </c>
      <c r="H265">
        <v>5</v>
      </c>
      <c r="I265" s="4">
        <f t="shared" si="20"/>
        <v>11438</v>
      </c>
      <c r="J265" s="6">
        <f t="shared" si="21"/>
        <v>982427.43138912867</v>
      </c>
      <c r="K265" s="8">
        <f t="shared" si="22"/>
        <v>-2070</v>
      </c>
      <c r="L265" s="10">
        <f t="shared" si="23"/>
        <v>9888132096.9315796</v>
      </c>
      <c r="M265" s="4">
        <f t="shared" si="24"/>
        <v>-34792098.805235133</v>
      </c>
    </row>
    <row r="266" spans="1:13" x14ac:dyDescent="0.2">
      <c r="A266" s="1">
        <v>1</v>
      </c>
      <c r="B266">
        <v>2</v>
      </c>
      <c r="C266">
        <v>2</v>
      </c>
      <c r="D266">
        <v>950000</v>
      </c>
      <c r="E266">
        <v>2000</v>
      </c>
      <c r="F266">
        <v>1258</v>
      </c>
      <c r="G266">
        <v>755</v>
      </c>
      <c r="H266">
        <v>6</v>
      </c>
      <c r="I266" s="4">
        <f t="shared" si="20"/>
        <v>12755</v>
      </c>
      <c r="J266" s="6">
        <f t="shared" si="21"/>
        <v>504765.20593073138</v>
      </c>
      <c r="K266" s="8">
        <f t="shared" si="22"/>
        <v>-1252</v>
      </c>
      <c r="L266" s="10">
        <f t="shared" si="23"/>
        <v>6057182471.1687765</v>
      </c>
      <c r="M266" s="4">
        <f t="shared" si="24"/>
        <v>-4296845.6561809974</v>
      </c>
    </row>
    <row r="267" spans="1:13" x14ac:dyDescent="0.2">
      <c r="A267" s="1">
        <v>1</v>
      </c>
      <c r="B267">
        <v>2</v>
      </c>
      <c r="C267">
        <v>2</v>
      </c>
      <c r="D267">
        <v>1600000</v>
      </c>
      <c r="E267">
        <v>2002</v>
      </c>
      <c r="F267">
        <v>1173</v>
      </c>
      <c r="G267">
        <v>1364</v>
      </c>
      <c r="H267">
        <v>7</v>
      </c>
      <c r="I267" s="4">
        <f t="shared" si="20"/>
        <v>15378</v>
      </c>
      <c r="J267" s="6">
        <f t="shared" si="21"/>
        <v>1027335.5214252258</v>
      </c>
      <c r="K267" s="8">
        <f t="shared" si="22"/>
        <v>-1166</v>
      </c>
      <c r="L267" s="10">
        <f t="shared" si="23"/>
        <v>14397079997.253113</v>
      </c>
      <c r="M267" s="4">
        <f t="shared" si="24"/>
        <v>-16019321.363257447</v>
      </c>
    </row>
    <row r="268" spans="1:13" x14ac:dyDescent="0.2">
      <c r="A268" s="1">
        <v>1</v>
      </c>
      <c r="B268">
        <v>3</v>
      </c>
      <c r="C268">
        <v>2</v>
      </c>
      <c r="D268">
        <v>1275000</v>
      </c>
      <c r="E268">
        <v>2001</v>
      </c>
      <c r="F268">
        <v>1502</v>
      </c>
      <c r="G268">
        <v>849</v>
      </c>
      <c r="H268">
        <v>13</v>
      </c>
      <c r="I268" s="4">
        <f t="shared" si="20"/>
        <v>26862</v>
      </c>
      <c r="J268" s="6">
        <f t="shared" si="21"/>
        <v>1343806.9941591013</v>
      </c>
      <c r="K268" s="8">
        <f t="shared" si="22"/>
        <v>-1489</v>
      </c>
      <c r="L268" s="10">
        <f t="shared" si="23"/>
        <v>34956451339.060699</v>
      </c>
      <c r="M268" s="4">
        <f t="shared" si="24"/>
        <v>-39580692.067372434</v>
      </c>
    </row>
    <row r="269" spans="1:13" x14ac:dyDescent="0.2">
      <c r="A269" s="1">
        <v>1</v>
      </c>
      <c r="B269">
        <v>1</v>
      </c>
      <c r="C269">
        <v>1.5</v>
      </c>
      <c r="D269">
        <v>775000</v>
      </c>
      <c r="E269">
        <v>2009</v>
      </c>
      <c r="F269">
        <v>835</v>
      </c>
      <c r="G269">
        <v>928</v>
      </c>
      <c r="H269">
        <v>14</v>
      </c>
      <c r="I269" s="4">
        <f t="shared" si="20"/>
        <v>29054</v>
      </c>
      <c r="J269" s="6">
        <f t="shared" si="21"/>
        <v>1179424.4805409394</v>
      </c>
      <c r="K269" s="8">
        <f t="shared" si="22"/>
        <v>-821</v>
      </c>
      <c r="L269" s="10">
        <f t="shared" si="23"/>
        <v>33172492939.694462</v>
      </c>
      <c r="M269" s="4">
        <f t="shared" si="24"/>
        <v>-12588504.309365235</v>
      </c>
    </row>
    <row r="270" spans="1:13" x14ac:dyDescent="0.2">
      <c r="A270" s="1">
        <v>1</v>
      </c>
      <c r="B270">
        <v>3</v>
      </c>
      <c r="C270">
        <v>2</v>
      </c>
      <c r="D270">
        <v>1399000</v>
      </c>
      <c r="E270">
        <v>1892</v>
      </c>
      <c r="F270">
        <v>1809</v>
      </c>
      <c r="G270">
        <v>773</v>
      </c>
      <c r="H270">
        <v>41</v>
      </c>
      <c r="I270" s="4">
        <f t="shared" si="20"/>
        <v>78345</v>
      </c>
      <c r="J270" s="6">
        <f t="shared" si="21"/>
        <v>4234806.0253610602</v>
      </c>
      <c r="K270" s="8">
        <f t="shared" si="22"/>
        <v>-1768</v>
      </c>
      <c r="L270" s="10">
        <f t="shared" si="23"/>
        <v>328502372999.30817</v>
      </c>
      <c r="M270" s="4">
        <f t="shared" si="24"/>
        <v>-484606962.21618223</v>
      </c>
    </row>
    <row r="271" spans="1:13" x14ac:dyDescent="0.2">
      <c r="A271" s="1">
        <v>1</v>
      </c>
      <c r="B271">
        <v>2</v>
      </c>
      <c r="C271">
        <v>2</v>
      </c>
      <c r="D271">
        <v>879000</v>
      </c>
      <c r="E271">
        <v>1912</v>
      </c>
      <c r="F271">
        <v>950</v>
      </c>
      <c r="G271">
        <v>925</v>
      </c>
      <c r="H271">
        <v>53</v>
      </c>
      <c r="I271" s="4">
        <f t="shared" si="20"/>
        <v>102261</v>
      </c>
      <c r="J271" s="6">
        <f t="shared" si="21"/>
        <v>4747120.908152163</v>
      </c>
      <c r="K271" s="8">
        <f t="shared" si="22"/>
        <v>-897</v>
      </c>
      <c r="L271" s="10">
        <f t="shared" si="23"/>
        <v>481054244348.50763</v>
      </c>
      <c r="M271" s="4">
        <f t="shared" si="24"/>
        <v>-226217673.61312839</v>
      </c>
    </row>
    <row r="272" spans="1:13" x14ac:dyDescent="0.2">
      <c r="A272" s="1">
        <v>1</v>
      </c>
      <c r="B272">
        <v>1</v>
      </c>
      <c r="C272">
        <v>1</v>
      </c>
      <c r="D272">
        <v>699000</v>
      </c>
      <c r="E272">
        <v>1907</v>
      </c>
      <c r="F272">
        <v>932</v>
      </c>
      <c r="G272">
        <v>750</v>
      </c>
      <c r="H272">
        <v>59</v>
      </c>
      <c r="I272" s="4">
        <f t="shared" si="20"/>
        <v>113263</v>
      </c>
      <c r="J272" s="6">
        <f t="shared" si="21"/>
        <v>4243968.1843134118</v>
      </c>
      <c r="K272" s="8">
        <f t="shared" si="22"/>
        <v>-873</v>
      </c>
      <c r="L272" s="10">
        <f t="shared" si="23"/>
        <v>477501592321.65491</v>
      </c>
      <c r="M272" s="4">
        <f t="shared" si="24"/>
        <v>-173787048.1369831</v>
      </c>
    </row>
    <row r="273" spans="1:13" x14ac:dyDescent="0.2">
      <c r="A273" s="1">
        <v>1</v>
      </c>
      <c r="B273">
        <v>1</v>
      </c>
      <c r="C273">
        <v>1</v>
      </c>
      <c r="D273">
        <v>985000</v>
      </c>
      <c r="E273">
        <v>1978</v>
      </c>
      <c r="F273">
        <v>884</v>
      </c>
      <c r="G273">
        <v>1114</v>
      </c>
      <c r="H273">
        <v>11</v>
      </c>
      <c r="I273" s="4">
        <f t="shared" si="20"/>
        <v>22872</v>
      </c>
      <c r="J273" s="6">
        <f t="shared" si="21"/>
        <v>1144603.0445587202</v>
      </c>
      <c r="K273" s="8">
        <f t="shared" si="22"/>
        <v>-873</v>
      </c>
      <c r="L273" s="10">
        <f t="shared" si="23"/>
        <v>24904273043.508633</v>
      </c>
      <c r="M273" s="4">
        <f t="shared" si="24"/>
        <v>-12772488.088613421</v>
      </c>
    </row>
    <row r="274" spans="1:13" x14ac:dyDescent="0.2">
      <c r="A274" s="1">
        <v>1</v>
      </c>
      <c r="B274">
        <v>1</v>
      </c>
      <c r="C274">
        <v>1</v>
      </c>
      <c r="D274">
        <v>725000</v>
      </c>
      <c r="E274">
        <v>1978</v>
      </c>
      <c r="F274">
        <v>1063</v>
      </c>
      <c r="G274">
        <v>682</v>
      </c>
      <c r="H274">
        <v>60</v>
      </c>
      <c r="I274" s="4">
        <f t="shared" si="20"/>
        <v>119362</v>
      </c>
      <c r="J274" s="6">
        <f t="shared" si="21"/>
        <v>4191342.4463965399</v>
      </c>
      <c r="K274" s="8">
        <f t="shared" si="22"/>
        <v>-1003</v>
      </c>
      <c r="L274" s="10">
        <f t="shared" si="23"/>
        <v>497428521538.34137</v>
      </c>
      <c r="M274" s="4">
        <f t="shared" si="24"/>
        <v>-215735087.77590227</v>
      </c>
    </row>
    <row r="275" spans="1:13" x14ac:dyDescent="0.2">
      <c r="A275" s="1">
        <v>1</v>
      </c>
      <c r="B275">
        <v>2</v>
      </c>
      <c r="C275">
        <v>2</v>
      </c>
      <c r="D275">
        <v>849000</v>
      </c>
      <c r="E275">
        <v>1911</v>
      </c>
      <c r="F275">
        <v>1100</v>
      </c>
      <c r="G275">
        <v>772</v>
      </c>
      <c r="H275">
        <v>66</v>
      </c>
      <c r="I275" s="4">
        <f t="shared" si="20"/>
        <v>126898</v>
      </c>
      <c r="J275" s="6">
        <f t="shared" si="21"/>
        <v>5308947.9410522049</v>
      </c>
      <c r="K275" s="8">
        <f t="shared" si="22"/>
        <v>-1034</v>
      </c>
      <c r="L275" s="10">
        <f t="shared" si="23"/>
        <v>669596368013.15039</v>
      </c>
      <c r="M275" s="4">
        <f t="shared" si="24"/>
        <v>-350584314.38358366</v>
      </c>
    </row>
    <row r="276" spans="1:13" x14ac:dyDescent="0.2">
      <c r="A276" s="1">
        <v>1</v>
      </c>
      <c r="B276">
        <v>1</v>
      </c>
      <c r="C276">
        <v>1</v>
      </c>
      <c r="D276">
        <v>618000</v>
      </c>
      <c r="E276">
        <v>1973</v>
      </c>
      <c r="F276">
        <v>705</v>
      </c>
      <c r="G276">
        <v>877</v>
      </c>
      <c r="H276">
        <v>72</v>
      </c>
      <c r="I276" s="4">
        <f t="shared" si="20"/>
        <v>142933</v>
      </c>
      <c r="J276" s="6">
        <f t="shared" si="21"/>
        <v>5267172.437084211</v>
      </c>
      <c r="K276" s="8">
        <f t="shared" si="22"/>
        <v>-633</v>
      </c>
      <c r="L276" s="10">
        <f t="shared" si="23"/>
        <v>748233447722.43457</v>
      </c>
      <c r="M276" s="4">
        <f t="shared" si="24"/>
        <v>-174574363.10746133</v>
      </c>
    </row>
    <row r="277" spans="1:13" x14ac:dyDescent="0.2">
      <c r="A277" s="1">
        <v>1</v>
      </c>
      <c r="B277">
        <v>2</v>
      </c>
      <c r="C277">
        <v>2</v>
      </c>
      <c r="D277">
        <v>5950000</v>
      </c>
      <c r="E277">
        <v>1989</v>
      </c>
      <c r="F277">
        <v>3700</v>
      </c>
      <c r="G277">
        <v>1608</v>
      </c>
      <c r="H277">
        <v>83</v>
      </c>
      <c r="I277" s="4">
        <f t="shared" si="20"/>
        <v>166695</v>
      </c>
      <c r="J277" s="6">
        <f t="shared" si="21"/>
        <v>25504445.573086359</v>
      </c>
      <c r="K277" s="8">
        <f t="shared" si="22"/>
        <v>-3617</v>
      </c>
      <c r="L277" s="10">
        <f t="shared" si="23"/>
        <v>4210452406324.1074</v>
      </c>
      <c r="M277" s="4">
        <f t="shared" si="24"/>
        <v>-54043740506.126808</v>
      </c>
    </row>
    <row r="278" spans="1:13" x14ac:dyDescent="0.2">
      <c r="A278" s="1">
        <v>1</v>
      </c>
      <c r="B278">
        <v>4</v>
      </c>
      <c r="C278">
        <v>4</v>
      </c>
      <c r="D278">
        <v>1800000</v>
      </c>
      <c r="E278">
        <v>1948</v>
      </c>
      <c r="F278">
        <v>2475</v>
      </c>
      <c r="G278">
        <v>727</v>
      </c>
      <c r="H278">
        <v>10</v>
      </c>
      <c r="I278" s="4">
        <f t="shared" si="20"/>
        <v>20207</v>
      </c>
      <c r="J278" s="6">
        <f t="shared" si="21"/>
        <v>1136247.3955325463</v>
      </c>
      <c r="K278" s="8">
        <f t="shared" si="22"/>
        <v>-2465</v>
      </c>
      <c r="L278" s="10">
        <f t="shared" si="23"/>
        <v>22134099264.974003</v>
      </c>
      <c r="M278" s="4">
        <f t="shared" si="24"/>
        <v>-58573671.196519233</v>
      </c>
    </row>
    <row r="279" spans="1:13" x14ac:dyDescent="0.2">
      <c r="A279" s="1">
        <v>1</v>
      </c>
      <c r="B279">
        <v>2</v>
      </c>
      <c r="C279">
        <v>2.5</v>
      </c>
      <c r="D279">
        <v>2350000</v>
      </c>
      <c r="E279">
        <v>2008</v>
      </c>
      <c r="F279">
        <v>1314</v>
      </c>
      <c r="G279">
        <v>1788</v>
      </c>
      <c r="H279">
        <v>19</v>
      </c>
      <c r="I279" s="4">
        <f t="shared" si="20"/>
        <v>39940</v>
      </c>
      <c r="J279" s="6">
        <f t="shared" si="21"/>
        <v>3868741.2693583863</v>
      </c>
      <c r="K279" s="8">
        <f t="shared" si="22"/>
        <v>-1295</v>
      </c>
      <c r="L279" s="10">
        <f t="shared" si="23"/>
        <v>147600216908.56116</v>
      </c>
      <c r="M279" s="4">
        <f t="shared" si="24"/>
        <v>-267901897.31901422</v>
      </c>
    </row>
    <row r="280" spans="1:13" x14ac:dyDescent="0.2">
      <c r="A280" s="1">
        <v>1</v>
      </c>
      <c r="B280">
        <v>1</v>
      </c>
      <c r="C280">
        <v>1</v>
      </c>
      <c r="D280">
        <v>740200</v>
      </c>
      <c r="E280">
        <v>1920</v>
      </c>
      <c r="F280">
        <v>989</v>
      </c>
      <c r="G280">
        <v>748</v>
      </c>
      <c r="H280">
        <v>41</v>
      </c>
      <c r="I280" s="4">
        <f t="shared" si="20"/>
        <v>79468</v>
      </c>
      <c r="J280" s="6">
        <f t="shared" si="21"/>
        <v>3029943.2101095435</v>
      </c>
      <c r="K280" s="8">
        <f t="shared" si="22"/>
        <v>-948</v>
      </c>
      <c r="L280" s="10">
        <f t="shared" si="23"/>
        <v>238517129499.82324</v>
      </c>
      <c r="M280" s="4">
        <f t="shared" si="24"/>
        <v>-99822433.98330383</v>
      </c>
    </row>
    <row r="281" spans="1:13" x14ac:dyDescent="0.2">
      <c r="A281" s="1">
        <v>1</v>
      </c>
      <c r="B281">
        <v>1</v>
      </c>
      <c r="C281">
        <v>1</v>
      </c>
      <c r="D281">
        <v>699000</v>
      </c>
      <c r="E281">
        <v>1982</v>
      </c>
      <c r="F281">
        <v>780</v>
      </c>
      <c r="G281">
        <v>896</v>
      </c>
      <c r="H281">
        <v>51</v>
      </c>
      <c r="I281" s="4">
        <f t="shared" si="20"/>
        <v>101978</v>
      </c>
      <c r="J281" s="6">
        <f t="shared" si="21"/>
        <v>4009372.2056133393</v>
      </c>
      <c r="K281" s="8">
        <f t="shared" si="22"/>
        <v>-729</v>
      </c>
      <c r="L281" s="10">
        <f t="shared" si="23"/>
        <v>405275361287.80756</v>
      </c>
      <c r="M281" s="4">
        <f t="shared" si="24"/>
        <v>-123170319.68679279</v>
      </c>
    </row>
    <row r="282" spans="1:13" x14ac:dyDescent="0.2">
      <c r="A282" s="1">
        <v>1</v>
      </c>
      <c r="B282">
        <v>2</v>
      </c>
      <c r="C282">
        <v>2</v>
      </c>
      <c r="D282">
        <v>958000</v>
      </c>
      <c r="E282">
        <v>2005</v>
      </c>
      <c r="F282">
        <v>915</v>
      </c>
      <c r="G282">
        <v>1047</v>
      </c>
      <c r="H282">
        <v>54</v>
      </c>
      <c r="I282" s="4">
        <f t="shared" si="20"/>
        <v>109317</v>
      </c>
      <c r="J282" s="6">
        <f t="shared" si="21"/>
        <v>5372814.8745576236</v>
      </c>
      <c r="K282" s="8">
        <f t="shared" si="22"/>
        <v>-861</v>
      </c>
      <c r="L282" s="10">
        <f t="shared" si="23"/>
        <v>581714666468.35388</v>
      </c>
      <c r="M282" s="4">
        <f t="shared" si="24"/>
        <v>-286173778.03997779</v>
      </c>
    </row>
    <row r="283" spans="1:13" x14ac:dyDescent="0.2">
      <c r="A283" s="1">
        <v>1</v>
      </c>
      <c r="B283">
        <v>2</v>
      </c>
      <c r="C283">
        <v>2</v>
      </c>
      <c r="D283">
        <v>1200000</v>
      </c>
      <c r="E283">
        <v>1909</v>
      </c>
      <c r="F283">
        <v>1302</v>
      </c>
      <c r="G283">
        <v>922</v>
      </c>
      <c r="H283">
        <v>56</v>
      </c>
      <c r="I283" s="4">
        <f t="shared" si="20"/>
        <v>107826</v>
      </c>
      <c r="J283" s="6">
        <f t="shared" si="21"/>
        <v>5852956.9319366924</v>
      </c>
      <c r="K283" s="8">
        <f t="shared" si="22"/>
        <v>-1246</v>
      </c>
      <c r="L283" s="10">
        <f t="shared" si="23"/>
        <v>625704507851.76025</v>
      </c>
      <c r="M283" s="4">
        <f t="shared" si="24"/>
        <v>-557981416.63484883</v>
      </c>
    </row>
    <row r="284" spans="1:13" x14ac:dyDescent="0.2">
      <c r="A284" s="1">
        <v>1</v>
      </c>
      <c r="B284">
        <v>3</v>
      </c>
      <c r="C284">
        <v>3</v>
      </c>
      <c r="D284">
        <v>1575000</v>
      </c>
      <c r="E284">
        <v>1993</v>
      </c>
      <c r="F284">
        <v>2233</v>
      </c>
      <c r="G284">
        <v>705</v>
      </c>
      <c r="H284">
        <v>62</v>
      </c>
      <c r="I284" s="4">
        <f t="shared" si="20"/>
        <v>124271</v>
      </c>
      <c r="J284" s="6">
        <f t="shared" si="21"/>
        <v>6488974.3325244281</v>
      </c>
      <c r="K284" s="8">
        <f t="shared" si="22"/>
        <v>-2171</v>
      </c>
      <c r="L284" s="10">
        <f t="shared" si="23"/>
        <v>801816602372.7135</v>
      </c>
      <c r="M284" s="4">
        <f t="shared" si="24"/>
        <v>-1635183849.5503592</v>
      </c>
    </row>
    <row r="285" spans="1:13" x14ac:dyDescent="0.2">
      <c r="A285" s="1">
        <v>1</v>
      </c>
      <c r="B285">
        <v>2</v>
      </c>
      <c r="C285">
        <v>2</v>
      </c>
      <c r="D285">
        <v>1199000</v>
      </c>
      <c r="E285">
        <v>1964</v>
      </c>
      <c r="F285">
        <v>1100</v>
      </c>
      <c r="G285">
        <v>1090</v>
      </c>
      <c r="H285">
        <v>68</v>
      </c>
      <c r="I285" s="4">
        <f t="shared" si="20"/>
        <v>134642</v>
      </c>
      <c r="J285" s="6">
        <f t="shared" si="21"/>
        <v>7722939.6567512453</v>
      </c>
      <c r="K285" s="8">
        <f t="shared" si="22"/>
        <v>-1032</v>
      </c>
      <c r="L285" s="10">
        <f t="shared" si="23"/>
        <v>1031414037038.4423</v>
      </c>
      <c r="M285" s="4">
        <f t="shared" si="24"/>
        <v>-761172485.07711995</v>
      </c>
    </row>
    <row r="286" spans="1:13" x14ac:dyDescent="0.2">
      <c r="A286" s="1">
        <v>1</v>
      </c>
      <c r="B286">
        <v>1</v>
      </c>
      <c r="C286">
        <v>1</v>
      </c>
      <c r="D286">
        <v>529000</v>
      </c>
      <c r="E286">
        <v>1966</v>
      </c>
      <c r="F286">
        <v>791</v>
      </c>
      <c r="G286">
        <v>669</v>
      </c>
      <c r="H286">
        <v>69</v>
      </c>
      <c r="I286" s="4">
        <f t="shared" si="20"/>
        <v>136323</v>
      </c>
      <c r="J286" s="6">
        <f t="shared" si="21"/>
        <v>4078630.2741350685</v>
      </c>
      <c r="K286" s="8">
        <f t="shared" si="22"/>
        <v>-722</v>
      </c>
      <c r="L286" s="10">
        <f t="shared" si="23"/>
        <v>553282511207.51855</v>
      </c>
      <c r="M286" s="4">
        <f t="shared" si="24"/>
        <v>-126034944.74037375</v>
      </c>
    </row>
    <row r="287" spans="1:13" x14ac:dyDescent="0.2">
      <c r="A287" s="1">
        <v>1</v>
      </c>
      <c r="B287">
        <v>1</v>
      </c>
      <c r="C287">
        <v>1</v>
      </c>
      <c r="D287">
        <v>699000</v>
      </c>
      <c r="E287">
        <v>1984</v>
      </c>
      <c r="F287">
        <v>880</v>
      </c>
      <c r="G287">
        <v>794</v>
      </c>
      <c r="H287">
        <v>73</v>
      </c>
      <c r="I287" s="4">
        <f t="shared" si="20"/>
        <v>145626</v>
      </c>
      <c r="J287" s="6">
        <f t="shared" si="21"/>
        <v>5401763.7599244649</v>
      </c>
      <c r="K287" s="8">
        <f t="shared" si="22"/>
        <v>-807</v>
      </c>
      <c r="L287" s="10">
        <f t="shared" si="23"/>
        <v>782348248877.38</v>
      </c>
      <c r="M287" s="4">
        <f t="shared" si="24"/>
        <v>-263209759.43217367</v>
      </c>
    </row>
    <row r="288" spans="1:13" x14ac:dyDescent="0.2">
      <c r="A288" s="1">
        <v>1</v>
      </c>
      <c r="B288">
        <v>3</v>
      </c>
      <c r="C288">
        <v>2</v>
      </c>
      <c r="D288">
        <v>1295000</v>
      </c>
      <c r="E288">
        <v>1926</v>
      </c>
      <c r="F288">
        <v>1675</v>
      </c>
      <c r="G288">
        <v>773</v>
      </c>
      <c r="H288">
        <v>77</v>
      </c>
      <c r="I288" s="4">
        <f t="shared" si="20"/>
        <v>149075</v>
      </c>
      <c r="J288" s="6">
        <f t="shared" si="21"/>
        <v>7652943.6057122108</v>
      </c>
      <c r="K288" s="8">
        <f t="shared" si="22"/>
        <v>-1598</v>
      </c>
      <c r="L288" s="10">
        <f t="shared" si="23"/>
        <v>1134946842614.3323</v>
      </c>
      <c r="M288" s="4">
        <f t="shared" si="24"/>
        <v>-1400790627.7201312</v>
      </c>
    </row>
    <row r="289" spans="1:13" x14ac:dyDescent="0.2">
      <c r="A289" s="1">
        <v>1</v>
      </c>
      <c r="B289">
        <v>4</v>
      </c>
      <c r="C289">
        <v>4</v>
      </c>
      <c r="D289">
        <v>1800000</v>
      </c>
      <c r="E289">
        <v>1948</v>
      </c>
      <c r="F289">
        <v>2347</v>
      </c>
      <c r="G289">
        <v>767</v>
      </c>
      <c r="H289">
        <v>87</v>
      </c>
      <c r="I289" s="4">
        <f t="shared" si="20"/>
        <v>170243</v>
      </c>
      <c r="J289" s="6">
        <f t="shared" si="21"/>
        <v>10155984.97342008</v>
      </c>
      <c r="K289" s="8">
        <f t="shared" si="22"/>
        <v>-2260</v>
      </c>
      <c r="L289" s="10">
        <f t="shared" si="23"/>
        <v>1721195709355.3416</v>
      </c>
      <c r="M289" s="4">
        <f t="shared" si="24"/>
        <v>-4176018000.4241309</v>
      </c>
    </row>
    <row r="290" spans="1:13" x14ac:dyDescent="0.2">
      <c r="A290" s="1">
        <v>1</v>
      </c>
      <c r="B290">
        <v>1</v>
      </c>
      <c r="C290">
        <v>1</v>
      </c>
      <c r="D290">
        <v>795000</v>
      </c>
      <c r="E290">
        <v>2000</v>
      </c>
      <c r="F290">
        <v>990</v>
      </c>
      <c r="G290">
        <v>803</v>
      </c>
      <c r="H290">
        <v>7</v>
      </c>
      <c r="I290" s="4">
        <f t="shared" si="20"/>
        <v>14803</v>
      </c>
      <c r="J290" s="6">
        <f t="shared" si="21"/>
        <v>555625.37426787568</v>
      </c>
      <c r="K290" s="8">
        <f t="shared" si="22"/>
        <v>-983</v>
      </c>
      <c r="L290" s="10">
        <f t="shared" si="23"/>
        <v>7778755239.7502594</v>
      </c>
      <c r="M290" s="4">
        <f t="shared" si="24"/>
        <v>-3625616.9285398885</v>
      </c>
    </row>
    <row r="291" spans="1:13" x14ac:dyDescent="0.2">
      <c r="A291" s="1">
        <v>1</v>
      </c>
      <c r="B291">
        <v>2</v>
      </c>
      <c r="C291">
        <v>2</v>
      </c>
      <c r="D291">
        <v>779000</v>
      </c>
      <c r="E291">
        <v>2007</v>
      </c>
      <c r="F291">
        <v>808</v>
      </c>
      <c r="G291">
        <v>964</v>
      </c>
      <c r="H291">
        <v>7</v>
      </c>
      <c r="I291" s="4">
        <f t="shared" si="20"/>
        <v>15013</v>
      </c>
      <c r="J291" s="6">
        <f t="shared" si="21"/>
        <v>602603.48998592235</v>
      </c>
      <c r="K291" s="8">
        <f t="shared" si="22"/>
        <v>-801</v>
      </c>
      <c r="L291" s="10">
        <f t="shared" si="23"/>
        <v>8465976430.8122234</v>
      </c>
      <c r="M291" s="4">
        <f t="shared" si="24"/>
        <v>-3150635.7150007742</v>
      </c>
    </row>
    <row r="292" spans="1:13" x14ac:dyDescent="0.2">
      <c r="A292" s="1">
        <v>1</v>
      </c>
      <c r="B292">
        <v>1</v>
      </c>
      <c r="C292">
        <v>1.5</v>
      </c>
      <c r="D292">
        <v>378551</v>
      </c>
      <c r="E292">
        <v>2000</v>
      </c>
      <c r="F292">
        <v>1000</v>
      </c>
      <c r="G292">
        <v>379</v>
      </c>
      <c r="H292">
        <v>9</v>
      </c>
      <c r="I292" s="4">
        <f t="shared" si="20"/>
        <v>18379</v>
      </c>
      <c r="J292" s="6">
        <f t="shared" si="21"/>
        <v>338869.59816897969</v>
      </c>
      <c r="K292" s="8">
        <f t="shared" si="22"/>
        <v>-991</v>
      </c>
      <c r="L292" s="10">
        <f t="shared" si="23"/>
        <v>6099652767.0416346</v>
      </c>
      <c r="M292" s="4">
        <f t="shared" si="24"/>
        <v>-1364753.8495388792</v>
      </c>
    </row>
    <row r="293" spans="1:13" x14ac:dyDescent="0.2">
      <c r="A293" s="1">
        <v>1</v>
      </c>
      <c r="B293">
        <v>4</v>
      </c>
      <c r="C293">
        <v>2.2999999999999998</v>
      </c>
      <c r="D293">
        <v>1398000</v>
      </c>
      <c r="E293">
        <v>1904</v>
      </c>
      <c r="F293">
        <v>2492</v>
      </c>
      <c r="G293">
        <v>561</v>
      </c>
      <c r="H293">
        <v>13</v>
      </c>
      <c r="I293" s="4">
        <f t="shared" si="20"/>
        <v>25313</v>
      </c>
      <c r="J293" s="6">
        <f t="shared" si="21"/>
        <v>1143750.036197057</v>
      </c>
      <c r="K293" s="8">
        <f t="shared" si="22"/>
        <v>-2479</v>
      </c>
      <c r="L293" s="10">
        <f t="shared" si="23"/>
        <v>28310100895.949554</v>
      </c>
      <c r="M293" s="4">
        <f t="shared" si="24"/>
        <v>-58516221.922844194</v>
      </c>
    </row>
    <row r="294" spans="1:13" x14ac:dyDescent="0.2">
      <c r="A294" s="1">
        <v>1</v>
      </c>
      <c r="B294">
        <v>2</v>
      </c>
      <c r="C294">
        <v>1.3</v>
      </c>
      <c r="D294">
        <v>1097000</v>
      </c>
      <c r="E294">
        <v>1904</v>
      </c>
      <c r="F294">
        <v>1493</v>
      </c>
      <c r="G294">
        <v>735</v>
      </c>
      <c r="H294">
        <v>14</v>
      </c>
      <c r="I294" s="4">
        <f t="shared" si="20"/>
        <v>27391</v>
      </c>
      <c r="J294" s="6">
        <f t="shared" si="21"/>
        <v>1249097.0045685496</v>
      </c>
      <c r="K294" s="8">
        <f t="shared" si="22"/>
        <v>-1479</v>
      </c>
      <c r="L294" s="10">
        <f t="shared" si="23"/>
        <v>33295929753.779255</v>
      </c>
      <c r="M294" s="4">
        <f t="shared" si="24"/>
        <v>-32219374.965321805</v>
      </c>
    </row>
    <row r="295" spans="1:13" x14ac:dyDescent="0.2">
      <c r="A295" s="1">
        <v>1</v>
      </c>
      <c r="B295">
        <v>1</v>
      </c>
      <c r="C295">
        <v>1</v>
      </c>
      <c r="D295">
        <v>670000</v>
      </c>
      <c r="E295">
        <v>2014</v>
      </c>
      <c r="F295">
        <v>507</v>
      </c>
      <c r="G295">
        <v>1321</v>
      </c>
      <c r="H295">
        <v>20</v>
      </c>
      <c r="I295" s="4">
        <f t="shared" si="20"/>
        <v>41601</v>
      </c>
      <c r="J295" s="6">
        <f t="shared" si="21"/>
        <v>1868906.9592268728</v>
      </c>
      <c r="K295" s="8">
        <f t="shared" si="22"/>
        <v>-487</v>
      </c>
      <c r="L295" s="10">
        <f t="shared" si="23"/>
        <v>75279572317.658432</v>
      </c>
      <c r="M295" s="4">
        <f t="shared" si="24"/>
        <v>-14649812.624087133</v>
      </c>
    </row>
    <row r="296" spans="1:13" x14ac:dyDescent="0.2">
      <c r="A296" s="1">
        <v>1</v>
      </c>
      <c r="B296">
        <v>2</v>
      </c>
      <c r="C296">
        <v>2</v>
      </c>
      <c r="D296">
        <v>1199000</v>
      </c>
      <c r="E296">
        <v>2014</v>
      </c>
      <c r="F296">
        <v>943</v>
      </c>
      <c r="G296">
        <v>1271</v>
      </c>
      <c r="H296">
        <v>20</v>
      </c>
      <c r="I296" s="4">
        <f t="shared" si="20"/>
        <v>41551</v>
      </c>
      <c r="J296" s="6">
        <f t="shared" si="21"/>
        <v>2452349.0285511999</v>
      </c>
      <c r="K296" s="8">
        <f t="shared" si="22"/>
        <v>-923</v>
      </c>
      <c r="L296" s="10">
        <f t="shared" si="23"/>
        <v>98780618870.042328</v>
      </c>
      <c r="M296" s="4">
        <f t="shared" si="24"/>
        <v>-65199428.624585897</v>
      </c>
    </row>
    <row r="297" spans="1:13" x14ac:dyDescent="0.2">
      <c r="A297" s="1">
        <v>1</v>
      </c>
      <c r="B297">
        <v>2</v>
      </c>
      <c r="C297">
        <v>2</v>
      </c>
      <c r="D297">
        <v>1095000</v>
      </c>
      <c r="E297">
        <v>2010</v>
      </c>
      <c r="F297">
        <v>1135</v>
      </c>
      <c r="G297">
        <v>965</v>
      </c>
      <c r="H297">
        <v>30</v>
      </c>
      <c r="I297" s="4">
        <f t="shared" si="20"/>
        <v>61265</v>
      </c>
      <c r="J297" s="6">
        <f t="shared" si="21"/>
        <v>3064060.8589916788</v>
      </c>
      <c r="K297" s="8">
        <f t="shared" si="22"/>
        <v>-1105</v>
      </c>
      <c r="L297" s="10">
        <f t="shared" si="23"/>
        <v>184762869797.19824</v>
      </c>
      <c r="M297" s="4">
        <f t="shared" si="24"/>
        <v>-133334414.86856304</v>
      </c>
    </row>
    <row r="298" spans="1:13" x14ac:dyDescent="0.2">
      <c r="A298" s="1">
        <v>1</v>
      </c>
      <c r="B298">
        <v>1</v>
      </c>
      <c r="C298">
        <v>2</v>
      </c>
      <c r="D298">
        <v>795000</v>
      </c>
      <c r="E298">
        <v>2014</v>
      </c>
      <c r="F298">
        <v>616</v>
      </c>
      <c r="G298">
        <v>1291</v>
      </c>
      <c r="H298">
        <v>31</v>
      </c>
      <c r="I298" s="4">
        <f t="shared" si="20"/>
        <v>63725</v>
      </c>
      <c r="J298" s="6">
        <f t="shared" si="21"/>
        <v>3120535.8797900924</v>
      </c>
      <c r="K298" s="8">
        <f t="shared" si="22"/>
        <v>-585</v>
      </c>
      <c r="L298" s="10">
        <f t="shared" si="23"/>
        <v>194827537118.81464</v>
      </c>
      <c r="M298" s="4">
        <f t="shared" si="24"/>
        <v>-54041139.537334681</v>
      </c>
    </row>
    <row r="299" spans="1:13" x14ac:dyDescent="0.2">
      <c r="A299" s="1">
        <v>1</v>
      </c>
      <c r="B299">
        <v>3</v>
      </c>
      <c r="C299">
        <v>2</v>
      </c>
      <c r="D299">
        <v>979000</v>
      </c>
      <c r="E299">
        <v>1900</v>
      </c>
      <c r="F299">
        <v>1440</v>
      </c>
      <c r="G299">
        <v>680</v>
      </c>
      <c r="H299">
        <v>33</v>
      </c>
      <c r="I299" s="4">
        <f t="shared" si="20"/>
        <v>63380</v>
      </c>
      <c r="J299" s="6">
        <f t="shared" si="21"/>
        <v>2675192.1839619717</v>
      </c>
      <c r="K299" s="8">
        <f t="shared" si="22"/>
        <v>-1407</v>
      </c>
      <c r="L299" s="10">
        <f t="shared" si="23"/>
        <v>167734549934.41562</v>
      </c>
      <c r="M299" s="4">
        <f t="shared" si="24"/>
        <v>-137800400.53730789</v>
      </c>
    </row>
    <row r="300" spans="1:13" x14ac:dyDescent="0.2">
      <c r="A300" s="1">
        <v>1</v>
      </c>
      <c r="B300">
        <v>3</v>
      </c>
      <c r="C300">
        <v>3</v>
      </c>
      <c r="D300">
        <v>1488888</v>
      </c>
      <c r="E300">
        <v>1977</v>
      </c>
      <c r="F300">
        <v>2100</v>
      </c>
      <c r="G300">
        <v>709</v>
      </c>
      <c r="H300">
        <v>38</v>
      </c>
      <c r="I300" s="4">
        <f t="shared" si="20"/>
        <v>75835</v>
      </c>
      <c r="J300" s="6">
        <f t="shared" si="21"/>
        <v>3878737.3073978834</v>
      </c>
      <c r="K300" s="8">
        <f t="shared" si="22"/>
        <v>-2062</v>
      </c>
      <c r="L300" s="10">
        <f t="shared" si="23"/>
        <v>291394018955.57336</v>
      </c>
      <c r="M300" s="4">
        <f t="shared" si="24"/>
        <v>-533559045.43404859</v>
      </c>
    </row>
    <row r="301" spans="1:13" x14ac:dyDescent="0.2">
      <c r="A301" s="1">
        <v>1</v>
      </c>
      <c r="B301">
        <v>3</v>
      </c>
      <c r="C301">
        <v>2</v>
      </c>
      <c r="D301">
        <v>1389000</v>
      </c>
      <c r="E301">
        <v>1908</v>
      </c>
      <c r="F301">
        <v>1546</v>
      </c>
      <c r="G301">
        <v>898</v>
      </c>
      <c r="H301">
        <v>55</v>
      </c>
      <c r="I301" s="4">
        <f t="shared" si="20"/>
        <v>105838</v>
      </c>
      <c r="J301" s="6">
        <f t="shared" si="21"/>
        <v>6100910.573759418</v>
      </c>
      <c r="K301" s="8">
        <f t="shared" si="22"/>
        <v>-1491</v>
      </c>
      <c r="L301" s="10">
        <f t="shared" si="23"/>
        <v>640229555610.31335</v>
      </c>
      <c r="M301" s="4">
        <f t="shared" si="24"/>
        <v>-790800201.35055614</v>
      </c>
    </row>
    <row r="302" spans="1:13" x14ac:dyDescent="0.2">
      <c r="A302" s="1">
        <v>1</v>
      </c>
      <c r="B302">
        <v>3</v>
      </c>
      <c r="C302">
        <v>2</v>
      </c>
      <c r="D302">
        <v>1389000</v>
      </c>
      <c r="E302">
        <v>1908</v>
      </c>
      <c r="F302">
        <v>1546</v>
      </c>
      <c r="G302">
        <v>898</v>
      </c>
      <c r="H302">
        <v>55</v>
      </c>
      <c r="I302" s="4">
        <f t="shared" si="20"/>
        <v>105838</v>
      </c>
      <c r="J302" s="6">
        <f t="shared" si="21"/>
        <v>6100910.573759418</v>
      </c>
      <c r="K302" s="8">
        <f t="shared" si="22"/>
        <v>-1491</v>
      </c>
      <c r="L302" s="10">
        <f t="shared" si="23"/>
        <v>640229555610.31335</v>
      </c>
      <c r="M302" s="4">
        <f t="shared" si="24"/>
        <v>-790800201.35055614</v>
      </c>
    </row>
    <row r="303" spans="1:13" x14ac:dyDescent="0.2">
      <c r="A303" s="1">
        <v>1</v>
      </c>
      <c r="B303">
        <v>4</v>
      </c>
      <c r="C303">
        <v>2</v>
      </c>
      <c r="D303">
        <v>1099000</v>
      </c>
      <c r="E303">
        <v>1962</v>
      </c>
      <c r="F303">
        <v>1267</v>
      </c>
      <c r="G303">
        <v>867</v>
      </c>
      <c r="H303">
        <v>69</v>
      </c>
      <c r="I303" s="4">
        <f t="shared" si="20"/>
        <v>136245</v>
      </c>
      <c r="J303" s="6">
        <f t="shared" si="21"/>
        <v>6689711.4244815959</v>
      </c>
      <c r="K303" s="8">
        <f t="shared" si="22"/>
        <v>-1198</v>
      </c>
      <c r="L303" s="10">
        <f t="shared" si="23"/>
        <v>905639753223.46948</v>
      </c>
      <c r="M303" s="4">
        <f t="shared" si="24"/>
        <v>-711149896.43401706</v>
      </c>
    </row>
    <row r="304" spans="1:13" x14ac:dyDescent="0.2">
      <c r="A304" s="1">
        <v>1</v>
      </c>
      <c r="B304">
        <v>3</v>
      </c>
      <c r="C304">
        <v>3.5</v>
      </c>
      <c r="D304">
        <v>1799000</v>
      </c>
      <c r="E304">
        <v>1900</v>
      </c>
      <c r="F304">
        <v>2449</v>
      </c>
      <c r="G304">
        <v>735</v>
      </c>
      <c r="H304">
        <v>75</v>
      </c>
      <c r="I304" s="4">
        <f t="shared" si="20"/>
        <v>143235</v>
      </c>
      <c r="J304" s="6">
        <f t="shared" si="21"/>
        <v>8570257.7460510507</v>
      </c>
      <c r="K304" s="8">
        <f t="shared" si="22"/>
        <v>-2374</v>
      </c>
      <c r="L304" s="10">
        <f t="shared" si="23"/>
        <v>1221261728812.2747</v>
      </c>
      <c r="M304" s="4">
        <f t="shared" si="24"/>
        <v>-3110797838.8035722</v>
      </c>
    </row>
    <row r="305" spans="1:13" x14ac:dyDescent="0.2">
      <c r="A305" s="1">
        <v>1</v>
      </c>
      <c r="B305">
        <v>3</v>
      </c>
      <c r="C305">
        <v>2</v>
      </c>
      <c r="D305">
        <v>1250000</v>
      </c>
      <c r="E305">
        <v>1924</v>
      </c>
      <c r="F305">
        <v>1450</v>
      </c>
      <c r="G305">
        <v>862</v>
      </c>
      <c r="H305">
        <v>83</v>
      </c>
      <c r="I305" s="4">
        <f t="shared" si="20"/>
        <v>160554</v>
      </c>
      <c r="J305" s="6">
        <f t="shared" si="21"/>
        <v>8558945.2361456435</v>
      </c>
      <c r="K305" s="8">
        <f t="shared" si="22"/>
        <v>-1367</v>
      </c>
      <c r="L305" s="10">
        <f t="shared" si="23"/>
        <v>1366795082650.5701</v>
      </c>
      <c r="M305" s="4">
        <f t="shared" si="24"/>
        <v>-1392942207.6834228</v>
      </c>
    </row>
    <row r="306" spans="1:13" x14ac:dyDescent="0.2">
      <c r="A306" s="1">
        <v>1</v>
      </c>
      <c r="B306">
        <v>3</v>
      </c>
      <c r="C306">
        <v>2</v>
      </c>
      <c r="D306">
        <v>998000</v>
      </c>
      <c r="E306">
        <v>1907</v>
      </c>
      <c r="F306">
        <v>1464</v>
      </c>
      <c r="G306">
        <v>682</v>
      </c>
      <c r="H306">
        <v>84</v>
      </c>
      <c r="I306" s="4">
        <f t="shared" si="20"/>
        <v>160870</v>
      </c>
      <c r="J306" s="6">
        <f t="shared" si="21"/>
        <v>6886286.5003894344</v>
      </c>
      <c r="K306" s="8">
        <f t="shared" si="22"/>
        <v>-1380</v>
      </c>
      <c r="L306" s="10">
        <f t="shared" si="23"/>
        <v>1103100461924.3826</v>
      </c>
      <c r="M306" s="4">
        <f t="shared" si="24"/>
        <v>-906099429.76463699</v>
      </c>
    </row>
    <row r="307" spans="1:13" x14ac:dyDescent="0.2">
      <c r="A307" s="1">
        <v>1</v>
      </c>
      <c r="B307">
        <v>3</v>
      </c>
      <c r="C307">
        <v>2.5</v>
      </c>
      <c r="D307">
        <v>1300000</v>
      </c>
      <c r="E307">
        <v>1975</v>
      </c>
      <c r="F307">
        <v>1642</v>
      </c>
      <c r="G307">
        <v>792</v>
      </c>
      <c r="H307">
        <v>4</v>
      </c>
      <c r="I307" s="4">
        <f t="shared" si="20"/>
        <v>8692</v>
      </c>
      <c r="J307" s="6">
        <f t="shared" si="21"/>
        <v>403294.81414411456</v>
      </c>
      <c r="K307" s="8">
        <f t="shared" si="22"/>
        <v>-1638</v>
      </c>
      <c r="L307" s="10">
        <f t="shared" si="23"/>
        <v>3186029031.7385049</v>
      </c>
      <c r="M307" s="4">
        <f t="shared" si="24"/>
        <v>-4046300.5826675347</v>
      </c>
    </row>
    <row r="308" spans="1:13" x14ac:dyDescent="0.2">
      <c r="A308" s="1">
        <v>1</v>
      </c>
      <c r="B308">
        <v>1</v>
      </c>
      <c r="C308">
        <v>1</v>
      </c>
      <c r="D308">
        <v>539000</v>
      </c>
      <c r="E308">
        <v>2000</v>
      </c>
      <c r="F308">
        <v>709</v>
      </c>
      <c r="G308">
        <v>760</v>
      </c>
      <c r="H308">
        <v>5</v>
      </c>
      <c r="I308" s="4">
        <f t="shared" si="20"/>
        <v>10760</v>
      </c>
      <c r="J308" s="6">
        <f t="shared" si="21"/>
        <v>317875.89975847118</v>
      </c>
      <c r="K308" s="8">
        <f t="shared" si="22"/>
        <v>-704</v>
      </c>
      <c r="L308" s="10">
        <f t="shared" si="23"/>
        <v>3178758997.584712</v>
      </c>
      <c r="M308" s="4">
        <f t="shared" si="24"/>
        <v>-719399.59626488364</v>
      </c>
    </row>
    <row r="309" spans="1:13" x14ac:dyDescent="0.2">
      <c r="A309" s="1">
        <v>1</v>
      </c>
      <c r="B309">
        <v>1</v>
      </c>
      <c r="C309">
        <v>1</v>
      </c>
      <c r="D309">
        <v>735000</v>
      </c>
      <c r="E309">
        <v>1983</v>
      </c>
      <c r="F309">
        <v>779</v>
      </c>
      <c r="G309">
        <v>944</v>
      </c>
      <c r="H309">
        <v>12</v>
      </c>
      <c r="I309" s="4">
        <f t="shared" si="20"/>
        <v>24740</v>
      </c>
      <c r="J309" s="6">
        <f t="shared" si="21"/>
        <v>993282.66800695914</v>
      </c>
      <c r="K309" s="8">
        <f t="shared" si="22"/>
        <v>-767</v>
      </c>
      <c r="L309" s="10">
        <f t="shared" si="23"/>
        <v>23636154367.8936</v>
      </c>
      <c r="M309" s="4">
        <f t="shared" si="24"/>
        <v>-7947136.7042244431</v>
      </c>
    </row>
    <row r="310" spans="1:13" x14ac:dyDescent="0.2">
      <c r="A310" s="1">
        <v>1</v>
      </c>
      <c r="B310">
        <v>3</v>
      </c>
      <c r="C310">
        <v>2</v>
      </c>
      <c r="D310">
        <v>688000</v>
      </c>
      <c r="E310">
        <v>1942</v>
      </c>
      <c r="F310">
        <v>1441</v>
      </c>
      <c r="G310">
        <v>477</v>
      </c>
      <c r="H310">
        <v>34</v>
      </c>
      <c r="I310" s="4">
        <f t="shared" si="20"/>
        <v>66505</v>
      </c>
      <c r="J310" s="6">
        <f t="shared" si="21"/>
        <v>1934105.5659979405</v>
      </c>
      <c r="K310" s="8">
        <f t="shared" si="22"/>
        <v>-1407</v>
      </c>
      <c r="L310" s="10">
        <f t="shared" si="23"/>
        <v>127705122311.71201</v>
      </c>
      <c r="M310" s="4">
        <f t="shared" si="24"/>
        <v>-73729623.466455266</v>
      </c>
    </row>
    <row r="311" spans="1:13" x14ac:dyDescent="0.2">
      <c r="A311" s="1">
        <v>1</v>
      </c>
      <c r="B311">
        <v>2</v>
      </c>
      <c r="C311">
        <v>1</v>
      </c>
      <c r="D311">
        <v>859000</v>
      </c>
      <c r="E311">
        <v>1890</v>
      </c>
      <c r="F311">
        <v>1100</v>
      </c>
      <c r="G311">
        <v>781</v>
      </c>
      <c r="H311">
        <v>44</v>
      </c>
      <c r="I311" s="4">
        <f t="shared" si="20"/>
        <v>83941</v>
      </c>
      <c r="J311" s="6">
        <f t="shared" si="21"/>
        <v>3580559.8807960032</v>
      </c>
      <c r="K311" s="8">
        <f t="shared" si="22"/>
        <v>-1056</v>
      </c>
      <c r="L311" s="10">
        <f t="shared" si="23"/>
        <v>297759359686.99561</v>
      </c>
      <c r="M311" s="4">
        <f t="shared" si="24"/>
        <v>-161091886.2796247</v>
      </c>
    </row>
    <row r="312" spans="1:13" x14ac:dyDescent="0.2">
      <c r="A312" s="1">
        <v>1</v>
      </c>
      <c r="B312">
        <v>3</v>
      </c>
      <c r="C312">
        <v>2</v>
      </c>
      <c r="D312">
        <v>699000</v>
      </c>
      <c r="E312">
        <v>1964</v>
      </c>
      <c r="F312">
        <v>1250</v>
      </c>
      <c r="G312">
        <v>559</v>
      </c>
      <c r="H312">
        <v>48</v>
      </c>
      <c r="I312" s="4">
        <f t="shared" si="20"/>
        <v>94831</v>
      </c>
      <c r="J312" s="6">
        <f t="shared" si="21"/>
        <v>2980292.8441214226</v>
      </c>
      <c r="K312" s="8">
        <f t="shared" si="22"/>
        <v>-1202</v>
      </c>
      <c r="L312" s="10">
        <f t="shared" si="23"/>
        <v>280958167001.01477</v>
      </c>
      <c r="M312" s="4">
        <f t="shared" si="24"/>
        <v>-140790861.76873332</v>
      </c>
    </row>
    <row r="313" spans="1:13" x14ac:dyDescent="0.2">
      <c r="A313" s="1">
        <v>1</v>
      </c>
      <c r="B313">
        <v>2</v>
      </c>
      <c r="C313">
        <v>1</v>
      </c>
      <c r="D313">
        <v>750000</v>
      </c>
      <c r="E313">
        <v>1924</v>
      </c>
      <c r="F313">
        <v>980</v>
      </c>
      <c r="G313">
        <v>765</v>
      </c>
      <c r="H313">
        <v>48</v>
      </c>
      <c r="I313" s="4">
        <f t="shared" si="20"/>
        <v>93117</v>
      </c>
      <c r="J313" s="6">
        <f t="shared" si="21"/>
        <v>3611325.2017629053</v>
      </c>
      <c r="K313" s="8">
        <f t="shared" si="22"/>
        <v>-932</v>
      </c>
      <c r="L313" s="10">
        <f t="shared" si="23"/>
        <v>333513105033.20782</v>
      </c>
      <c r="M313" s="4">
        <f t="shared" si="24"/>
        <v>-139040474.88410529</v>
      </c>
    </row>
    <row r="314" spans="1:13" x14ac:dyDescent="0.2">
      <c r="A314" s="1">
        <v>1</v>
      </c>
      <c r="B314">
        <v>3</v>
      </c>
      <c r="C314">
        <v>2</v>
      </c>
      <c r="D314">
        <v>549000</v>
      </c>
      <c r="E314">
        <v>1915</v>
      </c>
      <c r="F314">
        <v>1972</v>
      </c>
      <c r="G314">
        <v>278</v>
      </c>
      <c r="H314">
        <v>51</v>
      </c>
      <c r="I314" s="4">
        <f t="shared" si="20"/>
        <v>97943</v>
      </c>
      <c r="J314" s="6">
        <f t="shared" si="21"/>
        <v>1977968.2476446133</v>
      </c>
      <c r="K314" s="8">
        <f t="shared" si="22"/>
        <v>-1921</v>
      </c>
      <c r="L314" s="10">
        <f t="shared" si="23"/>
        <v>193178268906.21115</v>
      </c>
      <c r="M314" s="4">
        <f t="shared" si="24"/>
        <v>-121509194.60248855</v>
      </c>
    </row>
    <row r="315" spans="1:13" x14ac:dyDescent="0.2">
      <c r="A315" s="1">
        <v>1</v>
      </c>
      <c r="B315">
        <v>6</v>
      </c>
      <c r="C315">
        <v>3</v>
      </c>
      <c r="D315">
        <v>1600000</v>
      </c>
      <c r="E315">
        <v>1926</v>
      </c>
      <c r="F315">
        <v>2567</v>
      </c>
      <c r="G315">
        <v>623</v>
      </c>
      <c r="H315">
        <v>52</v>
      </c>
      <c r="I315" s="4">
        <f t="shared" si="20"/>
        <v>100775</v>
      </c>
      <c r="J315" s="6">
        <f t="shared" si="21"/>
        <v>5156502.2654977003</v>
      </c>
      <c r="K315" s="8">
        <f t="shared" si="22"/>
        <v>-2515</v>
      </c>
      <c r="L315" s="10">
        <f t="shared" si="23"/>
        <v>516434014894.12561</v>
      </c>
      <c r="M315" s="4">
        <f t="shared" si="24"/>
        <v>-1239435623.3742893</v>
      </c>
    </row>
    <row r="316" spans="1:13" x14ac:dyDescent="0.2">
      <c r="A316" s="1">
        <v>1</v>
      </c>
      <c r="B316">
        <v>2</v>
      </c>
      <c r="C316">
        <v>2</v>
      </c>
      <c r="D316">
        <v>875000</v>
      </c>
      <c r="E316">
        <v>1909</v>
      </c>
      <c r="F316">
        <v>1700</v>
      </c>
      <c r="G316">
        <v>515</v>
      </c>
      <c r="H316">
        <v>54</v>
      </c>
      <c r="I316" s="4">
        <f t="shared" si="20"/>
        <v>103601</v>
      </c>
      <c r="J316" s="6">
        <f t="shared" si="21"/>
        <v>3602270.6349597871</v>
      </c>
      <c r="K316" s="8">
        <f t="shared" si="22"/>
        <v>-1646</v>
      </c>
      <c r="L316" s="10">
        <f t="shared" si="23"/>
        <v>371343670675.4646</v>
      </c>
      <c r="M316" s="4">
        <f t="shared" si="24"/>
        <v>-318981189.25049627</v>
      </c>
    </row>
    <row r="317" spans="1:13" x14ac:dyDescent="0.2">
      <c r="A317" s="1">
        <v>1</v>
      </c>
      <c r="B317">
        <v>4</v>
      </c>
      <c r="C317">
        <v>3</v>
      </c>
      <c r="D317">
        <v>900000</v>
      </c>
      <c r="E317">
        <v>2003</v>
      </c>
      <c r="F317">
        <v>1870</v>
      </c>
      <c r="G317">
        <v>481</v>
      </c>
      <c r="H317">
        <v>54</v>
      </c>
      <c r="I317" s="4">
        <f t="shared" si="20"/>
        <v>108643</v>
      </c>
      <c r="J317" s="6">
        <f t="shared" si="21"/>
        <v>3528665.7955944268</v>
      </c>
      <c r="K317" s="8">
        <f t="shared" si="22"/>
        <v>-1816</v>
      </c>
      <c r="L317" s="10">
        <f t="shared" si="23"/>
        <v>381667549783.08441</v>
      </c>
      <c r="M317" s="4">
        <f t="shared" si="24"/>
        <v>-372044384.13786209</v>
      </c>
    </row>
    <row r="318" spans="1:13" x14ac:dyDescent="0.2">
      <c r="A318" s="1">
        <v>1</v>
      </c>
      <c r="B318">
        <v>3</v>
      </c>
      <c r="C318">
        <v>2</v>
      </c>
      <c r="D318">
        <v>748000</v>
      </c>
      <c r="E318">
        <v>1930</v>
      </c>
      <c r="F318">
        <v>1522</v>
      </c>
      <c r="G318">
        <v>491</v>
      </c>
      <c r="H318">
        <v>54</v>
      </c>
      <c r="I318" s="4">
        <f t="shared" si="20"/>
        <v>104711</v>
      </c>
      <c r="J318" s="6">
        <f t="shared" si="21"/>
        <v>3249626.6404697848</v>
      </c>
      <c r="K318" s="8">
        <f t="shared" si="22"/>
        <v>-1468</v>
      </c>
      <c r="L318" s="10">
        <f t="shared" si="23"/>
        <v>338676088469.76099</v>
      </c>
      <c r="M318" s="4">
        <f t="shared" si="24"/>
        <v>-221800924.31129736</v>
      </c>
    </row>
    <row r="319" spans="1:13" x14ac:dyDescent="0.2">
      <c r="A319" s="1">
        <v>1</v>
      </c>
      <c r="B319">
        <v>2</v>
      </c>
      <c r="C319">
        <v>1.5</v>
      </c>
      <c r="D319">
        <v>749000</v>
      </c>
      <c r="E319">
        <v>1949</v>
      </c>
      <c r="F319">
        <v>1348</v>
      </c>
      <c r="G319">
        <v>556</v>
      </c>
      <c r="H319">
        <v>56</v>
      </c>
      <c r="I319" s="4">
        <f t="shared" si="20"/>
        <v>109700</v>
      </c>
      <c r="J319" s="6">
        <f t="shared" si="21"/>
        <v>3591357.6160326521</v>
      </c>
      <c r="K319" s="8">
        <f t="shared" si="22"/>
        <v>-1292</v>
      </c>
      <c r="L319" s="10">
        <f t="shared" si="23"/>
        <v>391975135644.26782</v>
      </c>
      <c r="M319" s="4">
        <f t="shared" si="24"/>
        <v>-226231988.79355919</v>
      </c>
    </row>
    <row r="320" spans="1:13" x14ac:dyDescent="0.2">
      <c r="A320" s="1">
        <v>1</v>
      </c>
      <c r="B320">
        <v>2</v>
      </c>
      <c r="C320">
        <v>1</v>
      </c>
      <c r="D320">
        <v>599000</v>
      </c>
      <c r="E320">
        <v>1942</v>
      </c>
      <c r="F320">
        <v>707</v>
      </c>
      <c r="G320">
        <v>847</v>
      </c>
      <c r="H320">
        <v>61</v>
      </c>
      <c r="I320" s="4">
        <f t="shared" si="20"/>
        <v>119309</v>
      </c>
      <c r="J320" s="6">
        <f t="shared" si="21"/>
        <v>4315924.5168203544</v>
      </c>
      <c r="K320" s="8">
        <f t="shared" si="22"/>
        <v>-646</v>
      </c>
      <c r="L320" s="10">
        <f t="shared" si="23"/>
        <v>511273050111.57281</v>
      </c>
      <c r="M320" s="4">
        <f t="shared" si="24"/>
        <v>-117994945.61072521</v>
      </c>
    </row>
    <row r="321" spans="1:13" x14ac:dyDescent="0.2">
      <c r="A321" s="1">
        <v>1</v>
      </c>
      <c r="B321">
        <v>3</v>
      </c>
      <c r="C321">
        <v>1</v>
      </c>
      <c r="D321">
        <v>648800</v>
      </c>
      <c r="E321">
        <v>1940</v>
      </c>
      <c r="F321">
        <v>1325</v>
      </c>
      <c r="G321">
        <v>490</v>
      </c>
      <c r="H321">
        <v>66</v>
      </c>
      <c r="I321" s="4">
        <f t="shared" si="20"/>
        <v>128530</v>
      </c>
      <c r="J321" s="6">
        <f t="shared" si="21"/>
        <v>3698271.9449940664</v>
      </c>
      <c r="K321" s="8">
        <f t="shared" si="22"/>
        <v>-1259</v>
      </c>
      <c r="L321" s="10">
        <f t="shared" si="23"/>
        <v>473526739837.04022</v>
      </c>
      <c r="M321" s="4">
        <f t="shared" si="24"/>
        <v>-230691845.16108674</v>
      </c>
    </row>
    <row r="322" spans="1:13" x14ac:dyDescent="0.2">
      <c r="A322" s="1">
        <v>1</v>
      </c>
      <c r="B322">
        <v>2</v>
      </c>
      <c r="C322">
        <v>2</v>
      </c>
      <c r="D322">
        <v>649000</v>
      </c>
      <c r="E322">
        <v>1924</v>
      </c>
      <c r="F322">
        <v>1320</v>
      </c>
      <c r="G322">
        <v>492</v>
      </c>
      <c r="H322">
        <v>72</v>
      </c>
      <c r="I322" s="4">
        <f t="shared" si="20"/>
        <v>139020</v>
      </c>
      <c r="J322" s="6">
        <f t="shared" si="21"/>
        <v>4043295.2264229027</v>
      </c>
      <c r="K322" s="8">
        <f t="shared" si="22"/>
        <v>-1248</v>
      </c>
      <c r="L322" s="10">
        <f t="shared" si="23"/>
        <v>560109601125.91187</v>
      </c>
      <c r="M322" s="4">
        <f t="shared" si="24"/>
        <v>-270572380.31557137</v>
      </c>
    </row>
    <row r="323" spans="1:13" x14ac:dyDescent="0.2">
      <c r="A323" s="1">
        <v>1</v>
      </c>
      <c r="B323">
        <v>2</v>
      </c>
      <c r="C323">
        <v>1</v>
      </c>
      <c r="D323">
        <v>798888</v>
      </c>
      <c r="E323">
        <v>1929</v>
      </c>
      <c r="F323">
        <v>1025</v>
      </c>
      <c r="G323">
        <v>779</v>
      </c>
      <c r="H323">
        <v>74</v>
      </c>
      <c r="I323" s="4">
        <f t="shared" ref="I323:I386" si="25">+(H323*E323)+G323</f>
        <v>143525</v>
      </c>
      <c r="J323" s="6">
        <f t="shared" ref="J323:J386" si="26">+(3.1416*G323*H323)*SQRT(F323)</f>
        <v>5798050.5627178764</v>
      </c>
      <c r="K323" s="8">
        <f t="shared" ref="K323:K386" si="27">+H323-F323</f>
        <v>-951</v>
      </c>
      <c r="L323" s="10">
        <f t="shared" ref="L323:L386" si="28">+J323*E323*H323</f>
        <v>827648525625.72607</v>
      </c>
      <c r="M323" s="4">
        <f t="shared" ref="M323:M386" si="29">(K323*L323/465743*D323)/3600000</f>
        <v>-375027852.77647215</v>
      </c>
    </row>
    <row r="324" spans="1:13" x14ac:dyDescent="0.2">
      <c r="A324" s="1">
        <v>1</v>
      </c>
      <c r="B324">
        <v>5</v>
      </c>
      <c r="C324">
        <v>2</v>
      </c>
      <c r="D324">
        <v>899000</v>
      </c>
      <c r="E324">
        <v>1972</v>
      </c>
      <c r="F324">
        <v>1940</v>
      </c>
      <c r="G324">
        <v>463</v>
      </c>
      <c r="H324">
        <v>81</v>
      </c>
      <c r="I324" s="4">
        <f t="shared" si="25"/>
        <v>160195</v>
      </c>
      <c r="J324" s="6">
        <f t="shared" si="26"/>
        <v>5189407.3562203161</v>
      </c>
      <c r="K324" s="8">
        <f t="shared" si="27"/>
        <v>-1859</v>
      </c>
      <c r="L324" s="10">
        <f t="shared" si="28"/>
        <v>828914415823.78357</v>
      </c>
      <c r="M324" s="4">
        <f t="shared" si="29"/>
        <v>-826228054.01247513</v>
      </c>
    </row>
    <row r="325" spans="1:13" x14ac:dyDescent="0.2">
      <c r="A325" s="1">
        <v>1</v>
      </c>
      <c r="B325">
        <v>3</v>
      </c>
      <c r="C325">
        <v>1.5</v>
      </c>
      <c r="D325">
        <v>699000</v>
      </c>
      <c r="E325">
        <v>1910</v>
      </c>
      <c r="F325">
        <v>1625</v>
      </c>
      <c r="G325">
        <v>430</v>
      </c>
      <c r="H325">
        <v>94</v>
      </c>
      <c r="I325" s="4">
        <f t="shared" si="25"/>
        <v>179970</v>
      </c>
      <c r="J325" s="6">
        <f t="shared" si="26"/>
        <v>5118867.405189259</v>
      </c>
      <c r="K325" s="8">
        <f t="shared" si="27"/>
        <v>-1531</v>
      </c>
      <c r="L325" s="10">
        <f t="shared" si="28"/>
        <v>919041453927.67944</v>
      </c>
      <c r="M325" s="4">
        <f t="shared" si="29"/>
        <v>-586595369.42305732</v>
      </c>
    </row>
    <row r="326" spans="1:13" x14ac:dyDescent="0.2">
      <c r="A326" s="1">
        <v>1</v>
      </c>
      <c r="B326">
        <v>3</v>
      </c>
      <c r="C326">
        <v>2</v>
      </c>
      <c r="D326">
        <v>749000</v>
      </c>
      <c r="E326">
        <v>1907</v>
      </c>
      <c r="F326">
        <v>1513</v>
      </c>
      <c r="G326">
        <v>495</v>
      </c>
      <c r="H326">
        <v>95</v>
      </c>
      <c r="I326" s="4">
        <f t="shared" si="25"/>
        <v>181660</v>
      </c>
      <c r="J326" s="6">
        <f t="shared" si="26"/>
        <v>5746443.7049995046</v>
      </c>
      <c r="K326" s="8">
        <f t="shared" si="27"/>
        <v>-1418</v>
      </c>
      <c r="L326" s="10">
        <f t="shared" si="28"/>
        <v>1041054473816.2352</v>
      </c>
      <c r="M326" s="4">
        <f t="shared" si="29"/>
        <v>-659451205.2424804</v>
      </c>
    </row>
    <row r="327" spans="1:13" x14ac:dyDescent="0.2">
      <c r="A327" s="1">
        <v>1</v>
      </c>
      <c r="B327">
        <v>3</v>
      </c>
      <c r="C327">
        <v>2</v>
      </c>
      <c r="D327">
        <v>535000</v>
      </c>
      <c r="E327">
        <v>1967</v>
      </c>
      <c r="F327">
        <v>1824</v>
      </c>
      <c r="G327">
        <v>293</v>
      </c>
      <c r="H327">
        <v>102</v>
      </c>
      <c r="I327" s="4">
        <f t="shared" si="25"/>
        <v>200927</v>
      </c>
      <c r="J327" s="6">
        <f t="shared" si="26"/>
        <v>4009877.4266691068</v>
      </c>
      <c r="K327" s="8">
        <f t="shared" si="27"/>
        <v>-1722</v>
      </c>
      <c r="L327" s="10">
        <f t="shared" si="28"/>
        <v>804517747622.32959</v>
      </c>
      <c r="M327" s="4">
        <f t="shared" si="29"/>
        <v>-442052367.78892577</v>
      </c>
    </row>
    <row r="328" spans="1:13" x14ac:dyDescent="0.2">
      <c r="A328" s="1">
        <v>1</v>
      </c>
      <c r="B328">
        <v>2</v>
      </c>
      <c r="C328">
        <v>1</v>
      </c>
      <c r="D328">
        <v>699000</v>
      </c>
      <c r="E328">
        <v>1913</v>
      </c>
      <c r="F328">
        <v>900</v>
      </c>
      <c r="G328">
        <v>777</v>
      </c>
      <c r="H328">
        <v>108</v>
      </c>
      <c r="I328" s="4">
        <f t="shared" si="25"/>
        <v>207381</v>
      </c>
      <c r="J328" s="6">
        <f t="shared" si="26"/>
        <v>7908915.1680000015</v>
      </c>
      <c r="K328" s="8">
        <f t="shared" si="27"/>
        <v>-792</v>
      </c>
      <c r="L328" s="10">
        <f t="shared" si="28"/>
        <v>1634013509369.4722</v>
      </c>
      <c r="M328" s="4">
        <f t="shared" si="29"/>
        <v>-539522005.63580656</v>
      </c>
    </row>
    <row r="329" spans="1:13" x14ac:dyDescent="0.2">
      <c r="A329" s="1">
        <v>1</v>
      </c>
      <c r="B329">
        <v>2</v>
      </c>
      <c r="C329">
        <v>1</v>
      </c>
      <c r="D329">
        <v>699000</v>
      </c>
      <c r="E329">
        <v>1913</v>
      </c>
      <c r="F329">
        <v>900</v>
      </c>
      <c r="G329">
        <v>777</v>
      </c>
      <c r="H329">
        <v>108</v>
      </c>
      <c r="I329" s="4">
        <f t="shared" si="25"/>
        <v>207381</v>
      </c>
      <c r="J329" s="6">
        <f t="shared" si="26"/>
        <v>7908915.1680000015</v>
      </c>
      <c r="K329" s="8">
        <f t="shared" si="27"/>
        <v>-792</v>
      </c>
      <c r="L329" s="10">
        <f t="shared" si="28"/>
        <v>1634013509369.4722</v>
      </c>
      <c r="M329" s="4">
        <f t="shared" si="29"/>
        <v>-539522005.63580656</v>
      </c>
    </row>
    <row r="330" spans="1:13" x14ac:dyDescent="0.2">
      <c r="A330" s="1">
        <v>1</v>
      </c>
      <c r="B330">
        <v>2</v>
      </c>
      <c r="C330">
        <v>1</v>
      </c>
      <c r="D330">
        <v>500000</v>
      </c>
      <c r="E330">
        <v>1958</v>
      </c>
      <c r="F330">
        <v>1166</v>
      </c>
      <c r="G330">
        <v>429</v>
      </c>
      <c r="H330">
        <v>136</v>
      </c>
      <c r="I330" s="4">
        <f t="shared" si="25"/>
        <v>266717</v>
      </c>
      <c r="J330" s="6">
        <f t="shared" si="26"/>
        <v>6258876.238850248</v>
      </c>
      <c r="K330" s="8">
        <f t="shared" si="27"/>
        <v>-1030</v>
      </c>
      <c r="L330" s="10">
        <f t="shared" si="28"/>
        <v>1666663635890.9548</v>
      </c>
      <c r="M330" s="4">
        <f t="shared" si="29"/>
        <v>-511925015.20500082</v>
      </c>
    </row>
    <row r="331" spans="1:13" x14ac:dyDescent="0.2">
      <c r="A331" s="1">
        <v>1</v>
      </c>
      <c r="B331">
        <v>3</v>
      </c>
      <c r="C331">
        <v>2.5</v>
      </c>
      <c r="D331">
        <v>879000</v>
      </c>
      <c r="E331">
        <v>1981</v>
      </c>
      <c r="F331">
        <v>2111</v>
      </c>
      <c r="G331">
        <v>416</v>
      </c>
      <c r="H331">
        <v>139</v>
      </c>
      <c r="I331" s="4">
        <f t="shared" si="25"/>
        <v>275775</v>
      </c>
      <c r="J331" s="6">
        <f t="shared" si="26"/>
        <v>8346475.7477787705</v>
      </c>
      <c r="K331" s="8">
        <f t="shared" si="27"/>
        <v>-1972</v>
      </c>
      <c r="L331" s="10">
        <f t="shared" si="28"/>
        <v>2298277215432.6147</v>
      </c>
      <c r="M331" s="4">
        <f t="shared" si="29"/>
        <v>-2376015996.6048927</v>
      </c>
    </row>
    <row r="332" spans="1:13" x14ac:dyDescent="0.2">
      <c r="A332" s="1">
        <v>1</v>
      </c>
      <c r="B332">
        <v>3</v>
      </c>
      <c r="C332">
        <v>2.5</v>
      </c>
      <c r="D332">
        <v>879000</v>
      </c>
      <c r="E332">
        <v>1981</v>
      </c>
      <c r="F332">
        <v>2111</v>
      </c>
      <c r="G332">
        <v>416</v>
      </c>
      <c r="H332">
        <v>139</v>
      </c>
      <c r="I332" s="4">
        <f t="shared" si="25"/>
        <v>275775</v>
      </c>
      <c r="J332" s="6">
        <f t="shared" si="26"/>
        <v>8346475.7477787705</v>
      </c>
      <c r="K332" s="8">
        <f t="shared" si="27"/>
        <v>-1972</v>
      </c>
      <c r="L332" s="10">
        <f t="shared" si="28"/>
        <v>2298277215432.6147</v>
      </c>
      <c r="M332" s="4">
        <f t="shared" si="29"/>
        <v>-2376015996.6048927</v>
      </c>
    </row>
    <row r="333" spans="1:13" x14ac:dyDescent="0.2">
      <c r="A333" s="1">
        <v>1</v>
      </c>
      <c r="B333">
        <v>4</v>
      </c>
      <c r="C333">
        <v>2.5</v>
      </c>
      <c r="D333">
        <v>699900</v>
      </c>
      <c r="E333">
        <v>1982</v>
      </c>
      <c r="F333">
        <v>1752</v>
      </c>
      <c r="G333">
        <v>399</v>
      </c>
      <c r="H333">
        <v>140</v>
      </c>
      <c r="I333" s="4">
        <f t="shared" si="25"/>
        <v>277879</v>
      </c>
      <c r="J333" s="6">
        <f t="shared" si="26"/>
        <v>7345457.842360056</v>
      </c>
      <c r="K333" s="8">
        <f t="shared" si="27"/>
        <v>-1612</v>
      </c>
      <c r="L333" s="10">
        <f t="shared" si="28"/>
        <v>2038217642098.0684</v>
      </c>
      <c r="M333" s="4">
        <f t="shared" si="29"/>
        <v>-1371521911.4998052</v>
      </c>
    </row>
    <row r="334" spans="1:13" x14ac:dyDescent="0.2">
      <c r="A334" s="1">
        <v>1</v>
      </c>
      <c r="B334">
        <v>2</v>
      </c>
      <c r="C334">
        <v>1</v>
      </c>
      <c r="D334">
        <v>688000</v>
      </c>
      <c r="E334">
        <v>1950</v>
      </c>
      <c r="F334">
        <v>1145</v>
      </c>
      <c r="G334">
        <v>601</v>
      </c>
      <c r="H334">
        <v>143</v>
      </c>
      <c r="I334" s="4">
        <f t="shared" si="25"/>
        <v>279451</v>
      </c>
      <c r="J334" s="6">
        <f t="shared" si="26"/>
        <v>9136169.3482289538</v>
      </c>
      <c r="K334" s="8">
        <f t="shared" si="27"/>
        <v>-1002</v>
      </c>
      <c r="L334" s="10">
        <f t="shared" si="28"/>
        <v>2547620822753.6436</v>
      </c>
      <c r="M334" s="4">
        <f t="shared" si="29"/>
        <v>-1047471252.2109928</v>
      </c>
    </row>
    <row r="335" spans="1:13" x14ac:dyDescent="0.2">
      <c r="A335" s="1">
        <v>1</v>
      </c>
      <c r="B335">
        <v>3</v>
      </c>
      <c r="C335">
        <v>2</v>
      </c>
      <c r="D335">
        <v>1195000</v>
      </c>
      <c r="E335">
        <v>1907</v>
      </c>
      <c r="F335">
        <v>1396</v>
      </c>
      <c r="G335">
        <v>856</v>
      </c>
      <c r="H335">
        <v>33</v>
      </c>
      <c r="I335" s="4">
        <f t="shared" si="25"/>
        <v>63787</v>
      </c>
      <c r="J335" s="6">
        <f t="shared" si="26"/>
        <v>3315746.3632689747</v>
      </c>
      <c r="K335" s="8">
        <f t="shared" si="27"/>
        <v>-1363</v>
      </c>
      <c r="L335" s="10">
        <f t="shared" si="28"/>
        <v>208663234386.87985</v>
      </c>
      <c r="M335" s="4">
        <f t="shared" si="29"/>
        <v>-202703318.62853435</v>
      </c>
    </row>
    <row r="336" spans="1:13" x14ac:dyDescent="0.2">
      <c r="A336" s="1">
        <v>1</v>
      </c>
      <c r="B336">
        <v>3</v>
      </c>
      <c r="C336">
        <v>2</v>
      </c>
      <c r="D336">
        <v>1195000</v>
      </c>
      <c r="E336">
        <v>1907</v>
      </c>
      <c r="F336">
        <v>1396</v>
      </c>
      <c r="G336">
        <v>856</v>
      </c>
      <c r="H336">
        <v>33</v>
      </c>
      <c r="I336" s="4">
        <f t="shared" si="25"/>
        <v>63787</v>
      </c>
      <c r="J336" s="6">
        <f t="shared" si="26"/>
        <v>3315746.3632689747</v>
      </c>
      <c r="K336" s="8">
        <f t="shared" si="27"/>
        <v>-1363</v>
      </c>
      <c r="L336" s="10">
        <f t="shared" si="28"/>
        <v>208663234386.87985</v>
      </c>
      <c r="M336" s="4">
        <f t="shared" si="29"/>
        <v>-202703318.62853435</v>
      </c>
    </row>
    <row r="337" spans="1:13" x14ac:dyDescent="0.2">
      <c r="A337" s="1">
        <v>1</v>
      </c>
      <c r="B337">
        <v>1</v>
      </c>
      <c r="C337">
        <v>1</v>
      </c>
      <c r="D337">
        <v>697000</v>
      </c>
      <c r="E337">
        <v>1922</v>
      </c>
      <c r="F337">
        <v>694</v>
      </c>
      <c r="G337">
        <v>1004</v>
      </c>
      <c r="H337">
        <v>50</v>
      </c>
      <c r="I337" s="4">
        <f t="shared" si="25"/>
        <v>97104</v>
      </c>
      <c r="J337" s="6">
        <f t="shared" si="26"/>
        <v>4154649.016809043</v>
      </c>
      <c r="K337" s="8">
        <f t="shared" si="27"/>
        <v>-644</v>
      </c>
      <c r="L337" s="10">
        <f t="shared" si="28"/>
        <v>399261770515.34906</v>
      </c>
      <c r="M337" s="4">
        <f t="shared" si="29"/>
        <v>-106887651.92134078</v>
      </c>
    </row>
    <row r="338" spans="1:13" x14ac:dyDescent="0.2">
      <c r="A338" s="1">
        <v>1</v>
      </c>
      <c r="B338">
        <v>5</v>
      </c>
      <c r="C338">
        <v>3.5</v>
      </c>
      <c r="D338">
        <v>3995000</v>
      </c>
      <c r="E338">
        <v>1905</v>
      </c>
      <c r="F338">
        <v>3350</v>
      </c>
      <c r="G338">
        <v>1193</v>
      </c>
      <c r="H338">
        <v>59</v>
      </c>
      <c r="I338" s="4">
        <f t="shared" si="25"/>
        <v>113588</v>
      </c>
      <c r="J338" s="6">
        <f t="shared" si="26"/>
        <v>12798696.691060735</v>
      </c>
      <c r="K338" s="8">
        <f t="shared" si="27"/>
        <v>-3291</v>
      </c>
      <c r="L338" s="10">
        <f t="shared" si="28"/>
        <v>1438509514591.7712</v>
      </c>
      <c r="M338" s="4">
        <f t="shared" si="29"/>
        <v>-11279986182.188383</v>
      </c>
    </row>
    <row r="339" spans="1:13" x14ac:dyDescent="0.2">
      <c r="A339" s="1">
        <v>1</v>
      </c>
      <c r="B339">
        <v>1</v>
      </c>
      <c r="C339">
        <v>1</v>
      </c>
      <c r="D339">
        <v>650000</v>
      </c>
      <c r="E339">
        <v>1955</v>
      </c>
      <c r="F339">
        <v>600</v>
      </c>
      <c r="G339">
        <v>1083</v>
      </c>
      <c r="H339">
        <v>74</v>
      </c>
      <c r="I339" s="4">
        <f t="shared" si="25"/>
        <v>145753</v>
      </c>
      <c r="J339" s="6">
        <f t="shared" si="26"/>
        <v>6167180.9308479233</v>
      </c>
      <c r="K339" s="8">
        <f t="shared" si="27"/>
        <v>-526</v>
      </c>
      <c r="L339" s="10">
        <f t="shared" si="28"/>
        <v>892206065265.76904</v>
      </c>
      <c r="M339" s="4">
        <f t="shared" si="29"/>
        <v>-181934656.44880354</v>
      </c>
    </row>
    <row r="340" spans="1:13" x14ac:dyDescent="0.2">
      <c r="A340" s="1">
        <v>1</v>
      </c>
      <c r="B340">
        <v>1</v>
      </c>
      <c r="C340">
        <v>1</v>
      </c>
      <c r="D340">
        <v>650000</v>
      </c>
      <c r="E340">
        <v>1955</v>
      </c>
      <c r="F340">
        <v>600</v>
      </c>
      <c r="G340">
        <v>1083</v>
      </c>
      <c r="H340">
        <v>74</v>
      </c>
      <c r="I340" s="4">
        <f t="shared" si="25"/>
        <v>145753</v>
      </c>
      <c r="J340" s="6">
        <f t="shared" si="26"/>
        <v>6167180.9308479233</v>
      </c>
      <c r="K340" s="8">
        <f t="shared" si="27"/>
        <v>-526</v>
      </c>
      <c r="L340" s="10">
        <f t="shared" si="28"/>
        <v>892206065265.76904</v>
      </c>
      <c r="M340" s="4">
        <f t="shared" si="29"/>
        <v>-181934656.44880354</v>
      </c>
    </row>
    <row r="341" spans="1:13" x14ac:dyDescent="0.2">
      <c r="A341" s="1">
        <v>1</v>
      </c>
      <c r="B341">
        <v>1</v>
      </c>
      <c r="C341">
        <v>1</v>
      </c>
      <c r="D341">
        <v>775000</v>
      </c>
      <c r="E341">
        <v>1955</v>
      </c>
      <c r="F341">
        <v>600</v>
      </c>
      <c r="G341">
        <v>1292</v>
      </c>
      <c r="H341">
        <v>74</v>
      </c>
      <c r="I341" s="4">
        <f t="shared" si="25"/>
        <v>145962</v>
      </c>
      <c r="J341" s="6">
        <f t="shared" si="26"/>
        <v>7357338.6543448903</v>
      </c>
      <c r="K341" s="8">
        <f t="shared" si="27"/>
        <v>-526</v>
      </c>
      <c r="L341" s="10">
        <f t="shared" si="28"/>
        <v>1064386183124.0753</v>
      </c>
      <c r="M341" s="4">
        <f t="shared" si="29"/>
        <v>-258784248.17414165</v>
      </c>
    </row>
    <row r="342" spans="1:13" x14ac:dyDescent="0.2">
      <c r="A342" s="1">
        <v>1</v>
      </c>
      <c r="B342">
        <v>1</v>
      </c>
      <c r="C342">
        <v>1</v>
      </c>
      <c r="D342">
        <v>825000</v>
      </c>
      <c r="E342">
        <v>1955</v>
      </c>
      <c r="F342">
        <v>600</v>
      </c>
      <c r="G342">
        <v>1375</v>
      </c>
      <c r="H342">
        <v>74</v>
      </c>
      <c r="I342" s="4">
        <f t="shared" si="25"/>
        <v>146045</v>
      </c>
      <c r="J342" s="6">
        <f t="shared" si="26"/>
        <v>7829985.0230063656</v>
      </c>
      <c r="K342" s="8">
        <f t="shared" si="27"/>
        <v>-526</v>
      </c>
      <c r="L342" s="10">
        <f t="shared" si="28"/>
        <v>1132763933278.3311</v>
      </c>
      <c r="M342" s="4">
        <f t="shared" si="29"/>
        <v>-293177251.09611696</v>
      </c>
    </row>
    <row r="343" spans="1:13" x14ac:dyDescent="0.2">
      <c r="A343" s="1">
        <v>1</v>
      </c>
      <c r="B343">
        <v>2</v>
      </c>
      <c r="C343">
        <v>1</v>
      </c>
      <c r="D343">
        <v>699000</v>
      </c>
      <c r="E343">
        <v>1907</v>
      </c>
      <c r="F343">
        <v>915</v>
      </c>
      <c r="G343">
        <v>764</v>
      </c>
      <c r="H343">
        <v>89</v>
      </c>
      <c r="I343" s="4">
        <f t="shared" si="25"/>
        <v>170487</v>
      </c>
      <c r="J343" s="6">
        <f t="shared" si="26"/>
        <v>6461670.3847044492</v>
      </c>
      <c r="K343" s="8">
        <f t="shared" si="27"/>
        <v>-826</v>
      </c>
      <c r="L343" s="10">
        <f t="shared" si="28"/>
        <v>1096694082703.1931</v>
      </c>
      <c r="M343" s="4">
        <f t="shared" si="29"/>
        <v>-377653823.69119728</v>
      </c>
    </row>
    <row r="344" spans="1:13" x14ac:dyDescent="0.2">
      <c r="A344" s="1">
        <v>1</v>
      </c>
      <c r="B344">
        <v>3</v>
      </c>
      <c r="C344">
        <v>2</v>
      </c>
      <c r="D344">
        <v>1495000</v>
      </c>
      <c r="E344">
        <v>1927</v>
      </c>
      <c r="F344">
        <v>1520</v>
      </c>
      <c r="G344">
        <v>984</v>
      </c>
      <c r="H344">
        <v>105</v>
      </c>
      <c r="I344" s="4">
        <f t="shared" si="25"/>
        <v>203319</v>
      </c>
      <c r="J344" s="6">
        <f t="shared" si="26"/>
        <v>12654852.272090031</v>
      </c>
      <c r="K344" s="8">
        <f t="shared" si="27"/>
        <v>-1415</v>
      </c>
      <c r="L344" s="10">
        <f t="shared" si="28"/>
        <v>2560519534473.3364</v>
      </c>
      <c r="M344" s="4">
        <f t="shared" si="29"/>
        <v>-3230553137.8018312</v>
      </c>
    </row>
    <row r="345" spans="1:13" x14ac:dyDescent="0.2">
      <c r="A345" s="1">
        <v>1</v>
      </c>
      <c r="B345">
        <v>4</v>
      </c>
      <c r="C345">
        <v>4.5</v>
      </c>
      <c r="D345">
        <v>5200000</v>
      </c>
      <c r="E345">
        <v>1952</v>
      </c>
      <c r="F345">
        <v>4813</v>
      </c>
      <c r="G345">
        <v>1080</v>
      </c>
      <c r="H345">
        <v>238</v>
      </c>
      <c r="I345" s="4">
        <f t="shared" si="25"/>
        <v>465656</v>
      </c>
      <c r="J345" s="6">
        <f t="shared" si="26"/>
        <v>56022118.992470026</v>
      </c>
      <c r="K345" s="8">
        <f t="shared" si="27"/>
        <v>-4575</v>
      </c>
      <c r="L345" s="10">
        <f t="shared" si="28"/>
        <v>26026531953045.754</v>
      </c>
      <c r="M345" s="4">
        <f t="shared" si="29"/>
        <v>-369285203763.40033</v>
      </c>
    </row>
    <row r="346" spans="1:13" x14ac:dyDescent="0.2">
      <c r="A346" s="1">
        <v>1</v>
      </c>
      <c r="B346">
        <v>2</v>
      </c>
      <c r="C346">
        <v>2</v>
      </c>
      <c r="D346">
        <v>989000</v>
      </c>
      <c r="E346">
        <v>1984</v>
      </c>
      <c r="F346">
        <v>988</v>
      </c>
      <c r="G346">
        <v>1001</v>
      </c>
      <c r="H346">
        <v>46</v>
      </c>
      <c r="I346" s="4">
        <f t="shared" si="25"/>
        <v>92265</v>
      </c>
      <c r="J346" s="6">
        <f t="shared" si="26"/>
        <v>4546961.4241102571</v>
      </c>
      <c r="K346" s="8">
        <f t="shared" si="27"/>
        <v>-942</v>
      </c>
      <c r="L346" s="10">
        <f t="shared" si="28"/>
        <v>414973887409.99847</v>
      </c>
      <c r="M346" s="4">
        <f t="shared" si="29"/>
        <v>-230578668.27775794</v>
      </c>
    </row>
    <row r="347" spans="1:13" x14ac:dyDescent="0.2">
      <c r="A347" s="1">
        <v>1</v>
      </c>
      <c r="B347">
        <v>3</v>
      </c>
      <c r="C347">
        <v>1</v>
      </c>
      <c r="D347">
        <v>1095000</v>
      </c>
      <c r="E347">
        <v>1895</v>
      </c>
      <c r="F347">
        <v>1465</v>
      </c>
      <c r="G347">
        <v>747</v>
      </c>
      <c r="H347">
        <v>68</v>
      </c>
      <c r="I347" s="4">
        <f t="shared" si="25"/>
        <v>129607</v>
      </c>
      <c r="J347" s="6">
        <f t="shared" si="26"/>
        <v>6108002.6264131442</v>
      </c>
      <c r="K347" s="8">
        <f t="shared" si="27"/>
        <v>-1397</v>
      </c>
      <c r="L347" s="10">
        <f t="shared" si="28"/>
        <v>787077218439.59778</v>
      </c>
      <c r="M347" s="4">
        <f t="shared" si="29"/>
        <v>-718090250.53953779</v>
      </c>
    </row>
    <row r="348" spans="1:13" x14ac:dyDescent="0.2">
      <c r="A348" s="1">
        <v>1</v>
      </c>
      <c r="B348">
        <v>1</v>
      </c>
      <c r="C348">
        <v>1</v>
      </c>
      <c r="D348">
        <v>725000</v>
      </c>
      <c r="E348">
        <v>1900</v>
      </c>
      <c r="F348">
        <v>811</v>
      </c>
      <c r="G348">
        <v>894</v>
      </c>
      <c r="H348">
        <v>70</v>
      </c>
      <c r="I348" s="4">
        <f t="shared" si="25"/>
        <v>133894</v>
      </c>
      <c r="J348" s="6">
        <f t="shared" si="26"/>
        <v>5598824.7553371293</v>
      </c>
      <c r="K348" s="8">
        <f t="shared" si="27"/>
        <v>-741</v>
      </c>
      <c r="L348" s="10">
        <f t="shared" si="28"/>
        <v>744643692459.83813</v>
      </c>
      <c r="M348" s="4">
        <f t="shared" si="29"/>
        <v>-238592008.23065785</v>
      </c>
    </row>
    <row r="349" spans="1:13" x14ac:dyDescent="0.2">
      <c r="A349" s="1">
        <v>1</v>
      </c>
      <c r="B349">
        <v>1</v>
      </c>
      <c r="C349">
        <v>1</v>
      </c>
      <c r="D349">
        <v>725000</v>
      </c>
      <c r="E349">
        <v>1900</v>
      </c>
      <c r="F349">
        <v>811</v>
      </c>
      <c r="G349">
        <v>894</v>
      </c>
      <c r="H349">
        <v>70</v>
      </c>
      <c r="I349" s="4">
        <f t="shared" si="25"/>
        <v>133894</v>
      </c>
      <c r="J349" s="6">
        <f t="shared" si="26"/>
        <v>5598824.7553371293</v>
      </c>
      <c r="K349" s="8">
        <f t="shared" si="27"/>
        <v>-741</v>
      </c>
      <c r="L349" s="10">
        <f t="shared" si="28"/>
        <v>744643692459.83813</v>
      </c>
      <c r="M349" s="4">
        <f t="shared" si="29"/>
        <v>-238592008.23065785</v>
      </c>
    </row>
    <row r="350" spans="1:13" x14ac:dyDescent="0.2">
      <c r="A350" s="1">
        <v>1</v>
      </c>
      <c r="B350">
        <v>4</v>
      </c>
      <c r="C350">
        <v>4</v>
      </c>
      <c r="D350">
        <v>2650000</v>
      </c>
      <c r="E350">
        <v>1900</v>
      </c>
      <c r="F350">
        <v>3816</v>
      </c>
      <c r="G350">
        <v>694</v>
      </c>
      <c r="H350">
        <v>75</v>
      </c>
      <c r="I350" s="4">
        <f t="shared" si="25"/>
        <v>143194</v>
      </c>
      <c r="J350" s="6">
        <f t="shared" si="26"/>
        <v>10101265.940583803</v>
      </c>
      <c r="K350" s="8">
        <f t="shared" si="27"/>
        <v>-3741</v>
      </c>
      <c r="L350" s="10">
        <f t="shared" si="28"/>
        <v>1439430396533.1919</v>
      </c>
      <c r="M350" s="4">
        <f t="shared" si="29"/>
        <v>-8510898565.775116</v>
      </c>
    </row>
    <row r="351" spans="1:13" x14ac:dyDescent="0.2">
      <c r="A351" s="1">
        <v>1</v>
      </c>
      <c r="B351">
        <v>2</v>
      </c>
      <c r="C351">
        <v>2</v>
      </c>
      <c r="D351">
        <v>1680000</v>
      </c>
      <c r="E351">
        <v>1962</v>
      </c>
      <c r="F351">
        <v>1850</v>
      </c>
      <c r="G351">
        <v>908</v>
      </c>
      <c r="H351">
        <v>89</v>
      </c>
      <c r="I351" s="4">
        <f t="shared" si="25"/>
        <v>175526</v>
      </c>
      <c r="J351" s="6">
        <f t="shared" si="26"/>
        <v>10919747.787715748</v>
      </c>
      <c r="K351" s="8">
        <f t="shared" si="27"/>
        <v>-1761</v>
      </c>
      <c r="L351" s="10">
        <f t="shared" si="28"/>
        <v>1906784519195.3486</v>
      </c>
      <c r="M351" s="4">
        <f t="shared" si="29"/>
        <v>-3364506858.6639791</v>
      </c>
    </row>
    <row r="352" spans="1:13" x14ac:dyDescent="0.2">
      <c r="A352" s="1">
        <v>1</v>
      </c>
      <c r="B352">
        <v>1</v>
      </c>
      <c r="C352">
        <v>1</v>
      </c>
      <c r="D352">
        <v>1199000</v>
      </c>
      <c r="E352">
        <v>1906</v>
      </c>
      <c r="F352">
        <v>1139</v>
      </c>
      <c r="G352">
        <v>1053</v>
      </c>
      <c r="H352">
        <v>91</v>
      </c>
      <c r="I352" s="4">
        <f t="shared" si="25"/>
        <v>174499</v>
      </c>
      <c r="J352" s="6">
        <f t="shared" si="26"/>
        <v>10159738.124716323</v>
      </c>
      <c r="K352" s="8">
        <f t="shared" si="27"/>
        <v>-1048</v>
      </c>
      <c r="L352" s="10">
        <f t="shared" si="28"/>
        <v>1762165938779.5474</v>
      </c>
      <c r="M352" s="4">
        <f t="shared" si="29"/>
        <v>-1320621705.9535444</v>
      </c>
    </row>
    <row r="353" spans="1:13" x14ac:dyDescent="0.2">
      <c r="A353" s="1">
        <v>1</v>
      </c>
      <c r="B353">
        <v>3</v>
      </c>
      <c r="C353">
        <v>2.5</v>
      </c>
      <c r="D353">
        <v>799000</v>
      </c>
      <c r="E353">
        <v>1947</v>
      </c>
      <c r="F353">
        <v>1400</v>
      </c>
      <c r="G353">
        <v>571</v>
      </c>
      <c r="H353">
        <v>35</v>
      </c>
      <c r="I353" s="4">
        <f t="shared" si="25"/>
        <v>68716</v>
      </c>
      <c r="J353" s="6">
        <f t="shared" si="26"/>
        <v>2349194.9506308595</v>
      </c>
      <c r="K353" s="8">
        <f t="shared" si="27"/>
        <v>-1365</v>
      </c>
      <c r="L353" s="10">
        <f t="shared" si="28"/>
        <v>160085889910.73993</v>
      </c>
      <c r="M353" s="4">
        <f t="shared" si="29"/>
        <v>-104131865.36995715</v>
      </c>
    </row>
    <row r="354" spans="1:13" x14ac:dyDescent="0.2">
      <c r="A354" s="1">
        <v>1</v>
      </c>
      <c r="B354">
        <v>3</v>
      </c>
      <c r="C354">
        <v>2</v>
      </c>
      <c r="D354">
        <v>795000</v>
      </c>
      <c r="E354">
        <v>1954</v>
      </c>
      <c r="F354">
        <v>1350</v>
      </c>
      <c r="G354">
        <v>589</v>
      </c>
      <c r="H354">
        <v>36</v>
      </c>
      <c r="I354" s="4">
        <f t="shared" si="25"/>
        <v>70933</v>
      </c>
      <c r="J354" s="6">
        <f t="shared" si="26"/>
        <v>2447572.5173635427</v>
      </c>
      <c r="K354" s="8">
        <f t="shared" si="27"/>
        <v>-1314</v>
      </c>
      <c r="L354" s="10">
        <f t="shared" si="28"/>
        <v>172172041161.42105</v>
      </c>
      <c r="M354" s="4">
        <f t="shared" si="29"/>
        <v>-107269507.09729476</v>
      </c>
    </row>
    <row r="355" spans="1:13" x14ac:dyDescent="0.2">
      <c r="A355" s="1">
        <v>1</v>
      </c>
      <c r="B355">
        <v>2</v>
      </c>
      <c r="C355">
        <v>1</v>
      </c>
      <c r="D355">
        <v>699000</v>
      </c>
      <c r="E355">
        <v>1944</v>
      </c>
      <c r="F355">
        <v>995</v>
      </c>
      <c r="G355">
        <v>703</v>
      </c>
      <c r="H355">
        <v>41</v>
      </c>
      <c r="I355" s="4">
        <f t="shared" si="25"/>
        <v>80407</v>
      </c>
      <c r="J355" s="6">
        <f t="shared" si="26"/>
        <v>2856285.4684223123</v>
      </c>
      <c r="K355" s="8">
        <f t="shared" si="27"/>
        <v>-954</v>
      </c>
      <c r="L355" s="10">
        <f t="shared" si="28"/>
        <v>227657376975.13199</v>
      </c>
      <c r="M355" s="4">
        <f t="shared" si="29"/>
        <v>-90543742.415857181</v>
      </c>
    </row>
    <row r="356" spans="1:13" x14ac:dyDescent="0.2">
      <c r="A356" s="1">
        <v>1</v>
      </c>
      <c r="B356">
        <v>3</v>
      </c>
      <c r="C356">
        <v>2</v>
      </c>
      <c r="D356">
        <v>848000</v>
      </c>
      <c r="E356">
        <v>1940</v>
      </c>
      <c r="F356">
        <v>1500</v>
      </c>
      <c r="G356">
        <v>565</v>
      </c>
      <c r="H356">
        <v>42</v>
      </c>
      <c r="I356" s="4">
        <f t="shared" si="25"/>
        <v>82045</v>
      </c>
      <c r="J356" s="6">
        <f t="shared" si="26"/>
        <v>2887315.5912096505</v>
      </c>
      <c r="K356" s="8">
        <f t="shared" si="27"/>
        <v>-1458</v>
      </c>
      <c r="L356" s="10">
        <f t="shared" si="28"/>
        <v>235258474371.76233</v>
      </c>
      <c r="M356" s="4">
        <f t="shared" si="29"/>
        <v>-173480160.59981158</v>
      </c>
    </row>
    <row r="357" spans="1:13" x14ac:dyDescent="0.2">
      <c r="A357" s="1">
        <v>1</v>
      </c>
      <c r="B357">
        <v>3</v>
      </c>
      <c r="C357">
        <v>2</v>
      </c>
      <c r="D357">
        <v>899000</v>
      </c>
      <c r="E357">
        <v>1948</v>
      </c>
      <c r="F357">
        <v>1665</v>
      </c>
      <c r="G357">
        <v>540</v>
      </c>
      <c r="H357">
        <v>52</v>
      </c>
      <c r="I357" s="4">
        <f t="shared" si="25"/>
        <v>101836</v>
      </c>
      <c r="J357" s="6">
        <f t="shared" si="26"/>
        <v>3599607.1901604929</v>
      </c>
      <c r="K357" s="8">
        <f t="shared" si="27"/>
        <v>-1613</v>
      </c>
      <c r="L357" s="10">
        <f t="shared" si="28"/>
        <v>364625809934.49731</v>
      </c>
      <c r="M357" s="4">
        <f t="shared" si="29"/>
        <v>-315349850.10240829</v>
      </c>
    </row>
    <row r="358" spans="1:13" x14ac:dyDescent="0.2">
      <c r="A358" s="1">
        <v>1</v>
      </c>
      <c r="B358">
        <v>3</v>
      </c>
      <c r="C358">
        <v>2</v>
      </c>
      <c r="D358">
        <v>899000</v>
      </c>
      <c r="E358">
        <v>1948</v>
      </c>
      <c r="F358">
        <v>1665</v>
      </c>
      <c r="G358">
        <v>540</v>
      </c>
      <c r="H358">
        <v>52</v>
      </c>
      <c r="I358" s="4">
        <f t="shared" si="25"/>
        <v>101836</v>
      </c>
      <c r="J358" s="6">
        <f t="shared" si="26"/>
        <v>3599607.1901604929</v>
      </c>
      <c r="K358" s="8">
        <f t="shared" si="27"/>
        <v>-1613</v>
      </c>
      <c r="L358" s="10">
        <f t="shared" si="28"/>
        <v>364625809934.49731</v>
      </c>
      <c r="M358" s="4">
        <f t="shared" si="29"/>
        <v>-315349850.10240829</v>
      </c>
    </row>
    <row r="359" spans="1:13" x14ac:dyDescent="0.2">
      <c r="A359" s="1">
        <v>1</v>
      </c>
      <c r="B359">
        <v>6</v>
      </c>
      <c r="C359">
        <v>4</v>
      </c>
      <c r="D359">
        <v>1198000</v>
      </c>
      <c r="E359">
        <v>1937</v>
      </c>
      <c r="F359">
        <v>1965</v>
      </c>
      <c r="G359">
        <v>610</v>
      </c>
      <c r="H359">
        <v>79</v>
      </c>
      <c r="I359" s="4">
        <f t="shared" si="25"/>
        <v>153633</v>
      </c>
      <c r="J359" s="6">
        <f t="shared" si="26"/>
        <v>6711028.6354105091</v>
      </c>
      <c r="K359" s="8">
        <f t="shared" si="27"/>
        <v>-1886</v>
      </c>
      <c r="L359" s="10">
        <f t="shared" si="28"/>
        <v>1026941734876.4222</v>
      </c>
      <c r="M359" s="4">
        <f t="shared" si="29"/>
        <v>-1383870569.3843343</v>
      </c>
    </row>
    <row r="360" spans="1:13" x14ac:dyDescent="0.2">
      <c r="A360" s="1">
        <v>1</v>
      </c>
      <c r="B360">
        <v>3</v>
      </c>
      <c r="C360">
        <v>3</v>
      </c>
      <c r="D360">
        <v>1100000</v>
      </c>
      <c r="E360">
        <v>1925</v>
      </c>
      <c r="F360">
        <v>2633</v>
      </c>
      <c r="G360">
        <v>418</v>
      </c>
      <c r="H360">
        <v>91</v>
      </c>
      <c r="I360" s="4">
        <f t="shared" si="25"/>
        <v>175593</v>
      </c>
      <c r="J360" s="6">
        <f t="shared" si="26"/>
        <v>6131884.8672472369</v>
      </c>
      <c r="K360" s="8">
        <f t="shared" si="27"/>
        <v>-2542</v>
      </c>
      <c r="L360" s="10">
        <f t="shared" si="28"/>
        <v>1074152931620.0348</v>
      </c>
      <c r="M360" s="4">
        <f t="shared" si="29"/>
        <v>-1791370889.2123513</v>
      </c>
    </row>
    <row r="361" spans="1:13" x14ac:dyDescent="0.2">
      <c r="A361" s="1">
        <v>1</v>
      </c>
      <c r="B361">
        <v>6</v>
      </c>
      <c r="C361">
        <v>3.5</v>
      </c>
      <c r="D361">
        <v>949000</v>
      </c>
      <c r="E361">
        <v>1918</v>
      </c>
      <c r="F361">
        <v>2473</v>
      </c>
      <c r="G361">
        <v>384</v>
      </c>
      <c r="H361">
        <v>97</v>
      </c>
      <c r="I361" s="4">
        <f t="shared" si="25"/>
        <v>186430</v>
      </c>
      <c r="J361" s="6">
        <f t="shared" si="26"/>
        <v>5819235.1243236298</v>
      </c>
      <c r="K361" s="8">
        <f t="shared" si="27"/>
        <v>-2376</v>
      </c>
      <c r="L361" s="10">
        <f t="shared" si="28"/>
        <v>1082645417939.9141</v>
      </c>
      <c r="M361" s="4">
        <f t="shared" si="29"/>
        <v>-1455962045.7473023</v>
      </c>
    </row>
    <row r="362" spans="1:13" x14ac:dyDescent="0.2">
      <c r="A362" s="1">
        <v>1</v>
      </c>
      <c r="B362">
        <v>5</v>
      </c>
      <c r="C362">
        <v>5</v>
      </c>
      <c r="D362">
        <v>2990000</v>
      </c>
      <c r="E362">
        <v>2014</v>
      </c>
      <c r="F362">
        <v>5000</v>
      </c>
      <c r="G362">
        <v>598</v>
      </c>
      <c r="H362">
        <v>108</v>
      </c>
      <c r="I362" s="4">
        <f t="shared" si="25"/>
        <v>218110</v>
      </c>
      <c r="J362" s="6">
        <f t="shared" si="26"/>
        <v>14346991.133328708</v>
      </c>
      <c r="K362" s="8">
        <f t="shared" si="27"/>
        <v>-4892</v>
      </c>
      <c r="L362" s="10">
        <f t="shared" si="28"/>
        <v>3120642735392.5938</v>
      </c>
      <c r="M362" s="4">
        <f t="shared" si="29"/>
        <v>-27224057367.598236</v>
      </c>
    </row>
    <row r="363" spans="1:13" x14ac:dyDescent="0.2">
      <c r="A363" s="1">
        <v>1</v>
      </c>
      <c r="B363">
        <v>4</v>
      </c>
      <c r="C363">
        <v>3</v>
      </c>
      <c r="D363">
        <v>1338800</v>
      </c>
      <c r="E363">
        <v>1940</v>
      </c>
      <c r="F363">
        <v>2330</v>
      </c>
      <c r="G363">
        <v>575</v>
      </c>
      <c r="H363">
        <v>119</v>
      </c>
      <c r="I363" s="4">
        <f t="shared" si="25"/>
        <v>231435</v>
      </c>
      <c r="J363" s="6">
        <f t="shared" si="26"/>
        <v>10376327.124037491</v>
      </c>
      <c r="K363" s="8">
        <f t="shared" si="27"/>
        <v>-2211</v>
      </c>
      <c r="L363" s="10">
        <f t="shared" si="28"/>
        <v>2395478879855.2949</v>
      </c>
      <c r="M363" s="4">
        <f t="shared" si="29"/>
        <v>-4229100009.10042</v>
      </c>
    </row>
    <row r="364" spans="1:13" x14ac:dyDescent="0.2">
      <c r="A364" s="1">
        <v>1</v>
      </c>
      <c r="B364">
        <v>3</v>
      </c>
      <c r="C364">
        <v>2.5</v>
      </c>
      <c r="D364">
        <v>1388000</v>
      </c>
      <c r="E364">
        <v>1928</v>
      </c>
      <c r="F364">
        <v>1905</v>
      </c>
      <c r="G364">
        <v>729</v>
      </c>
      <c r="H364">
        <v>160</v>
      </c>
      <c r="I364" s="4">
        <f t="shared" si="25"/>
        <v>309209</v>
      </c>
      <c r="J364" s="6">
        <f t="shared" si="26"/>
        <v>15993587.446977474</v>
      </c>
      <c r="K364" s="8">
        <f t="shared" si="27"/>
        <v>-1745</v>
      </c>
      <c r="L364" s="10">
        <f t="shared" si="28"/>
        <v>4933701855643.6113</v>
      </c>
      <c r="M364" s="4">
        <f t="shared" si="29"/>
        <v>-7127036153.0334721</v>
      </c>
    </row>
    <row r="365" spans="1:13" x14ac:dyDescent="0.2">
      <c r="A365" s="1">
        <v>1</v>
      </c>
      <c r="B365">
        <v>3</v>
      </c>
      <c r="C365">
        <v>2</v>
      </c>
      <c r="D365">
        <v>989000</v>
      </c>
      <c r="E365">
        <v>1940</v>
      </c>
      <c r="F365">
        <v>1603</v>
      </c>
      <c r="G365">
        <v>617</v>
      </c>
      <c r="H365">
        <v>227</v>
      </c>
      <c r="I365" s="4">
        <f t="shared" si="25"/>
        <v>440997</v>
      </c>
      <c r="J365" s="6">
        <f t="shared" si="26"/>
        <v>17616866.799493209</v>
      </c>
      <c r="K365" s="8">
        <f t="shared" si="27"/>
        <v>-1376</v>
      </c>
      <c r="L365" s="10">
        <f t="shared" si="28"/>
        <v>7758115801160.8184</v>
      </c>
      <c r="M365" s="4">
        <f t="shared" si="29"/>
        <v>-6296832576.973731</v>
      </c>
    </row>
    <row r="366" spans="1:13" x14ac:dyDescent="0.2">
      <c r="A366" s="1">
        <v>1</v>
      </c>
      <c r="B366">
        <v>3</v>
      </c>
      <c r="C366">
        <v>1</v>
      </c>
      <c r="D366">
        <v>1295000</v>
      </c>
      <c r="E366">
        <v>1890</v>
      </c>
      <c r="F366">
        <v>1772</v>
      </c>
      <c r="G366">
        <v>731</v>
      </c>
      <c r="H366">
        <v>65</v>
      </c>
      <c r="I366" s="4">
        <f t="shared" si="25"/>
        <v>123581</v>
      </c>
      <c r="J366" s="6">
        <f t="shared" si="26"/>
        <v>6283671.6139794188</v>
      </c>
      <c r="K366" s="8">
        <f t="shared" si="27"/>
        <v>-1707</v>
      </c>
      <c r="L366" s="10">
        <f t="shared" si="28"/>
        <v>771949057777.37158</v>
      </c>
      <c r="M366" s="4">
        <f t="shared" si="29"/>
        <v>-1017754646.819786</v>
      </c>
    </row>
    <row r="367" spans="1:13" x14ac:dyDescent="0.2">
      <c r="A367" s="1">
        <v>1</v>
      </c>
      <c r="B367">
        <v>6</v>
      </c>
      <c r="C367">
        <v>6</v>
      </c>
      <c r="D367">
        <v>6895000</v>
      </c>
      <c r="E367">
        <v>1902</v>
      </c>
      <c r="F367">
        <v>7800</v>
      </c>
      <c r="G367">
        <v>884</v>
      </c>
      <c r="H367">
        <v>67</v>
      </c>
      <c r="I367" s="4">
        <f t="shared" si="25"/>
        <v>128318</v>
      </c>
      <c r="J367" s="6">
        <f t="shared" si="26"/>
        <v>16433317.923874635</v>
      </c>
      <c r="K367" s="8">
        <f t="shared" si="27"/>
        <v>-7733</v>
      </c>
      <c r="L367" s="10">
        <f t="shared" si="28"/>
        <v>2094163436311.0403</v>
      </c>
      <c r="M367" s="4">
        <f t="shared" si="29"/>
        <v>-66595366946.761909</v>
      </c>
    </row>
    <row r="368" spans="1:13" x14ac:dyDescent="0.2">
      <c r="A368" s="1">
        <v>1</v>
      </c>
      <c r="B368">
        <v>2</v>
      </c>
      <c r="C368">
        <v>2</v>
      </c>
      <c r="D368">
        <v>1725000</v>
      </c>
      <c r="E368">
        <v>1922</v>
      </c>
      <c r="F368">
        <v>1415</v>
      </c>
      <c r="G368">
        <v>1219</v>
      </c>
      <c r="H368">
        <v>86</v>
      </c>
      <c r="I368" s="4">
        <f t="shared" si="25"/>
        <v>166511</v>
      </c>
      <c r="J368" s="6">
        <f t="shared" si="26"/>
        <v>12388857.712622276</v>
      </c>
      <c r="K368" s="8">
        <f t="shared" si="27"/>
        <v>-1329</v>
      </c>
      <c r="L368" s="10">
        <f t="shared" si="28"/>
        <v>2047779069034.7612</v>
      </c>
      <c r="M368" s="4">
        <f t="shared" si="29"/>
        <v>-2799937537.2248187</v>
      </c>
    </row>
    <row r="369" spans="1:13" x14ac:dyDescent="0.2">
      <c r="A369" s="1">
        <v>1</v>
      </c>
      <c r="B369">
        <v>3</v>
      </c>
      <c r="C369">
        <v>3</v>
      </c>
      <c r="D369">
        <v>1995000</v>
      </c>
      <c r="E369">
        <v>1922</v>
      </c>
      <c r="F369">
        <v>1915</v>
      </c>
      <c r="G369">
        <v>1042</v>
      </c>
      <c r="H369">
        <v>88</v>
      </c>
      <c r="I369" s="4">
        <f t="shared" si="25"/>
        <v>170178</v>
      </c>
      <c r="J369" s="6">
        <f t="shared" si="26"/>
        <v>12606242.829515303</v>
      </c>
      <c r="K369" s="8">
        <f t="shared" si="27"/>
        <v>-1827</v>
      </c>
      <c r="L369" s="10">
        <f t="shared" si="28"/>
        <v>2132169487212.9001</v>
      </c>
      <c r="M369" s="4">
        <f t="shared" si="29"/>
        <v>-4635049049.4699669</v>
      </c>
    </row>
    <row r="370" spans="1:13" x14ac:dyDescent="0.2">
      <c r="A370" s="1">
        <v>1</v>
      </c>
      <c r="B370">
        <v>0</v>
      </c>
      <c r="C370">
        <v>1</v>
      </c>
      <c r="D370">
        <v>499000</v>
      </c>
      <c r="E370">
        <v>1900</v>
      </c>
      <c r="F370">
        <v>510</v>
      </c>
      <c r="G370">
        <v>978</v>
      </c>
      <c r="H370">
        <v>91</v>
      </c>
      <c r="I370" s="4">
        <f t="shared" si="25"/>
        <v>173878</v>
      </c>
      <c r="J370" s="6">
        <f t="shared" si="26"/>
        <v>6314169.3159208205</v>
      </c>
      <c r="K370" s="8">
        <f t="shared" si="27"/>
        <v>-419</v>
      </c>
      <c r="L370" s="10">
        <f t="shared" si="28"/>
        <v>1091719874722.71</v>
      </c>
      <c r="M370" s="4">
        <f t="shared" si="29"/>
        <v>-136137242.07395431</v>
      </c>
    </row>
    <row r="371" spans="1:13" x14ac:dyDescent="0.2">
      <c r="A371" s="1">
        <v>1</v>
      </c>
      <c r="B371">
        <v>0</v>
      </c>
      <c r="C371">
        <v>1</v>
      </c>
      <c r="D371">
        <v>499000</v>
      </c>
      <c r="E371">
        <v>1900</v>
      </c>
      <c r="F371">
        <v>510</v>
      </c>
      <c r="G371">
        <v>978</v>
      </c>
      <c r="H371">
        <v>91</v>
      </c>
      <c r="I371" s="4">
        <f t="shared" si="25"/>
        <v>173878</v>
      </c>
      <c r="J371" s="6">
        <f t="shared" si="26"/>
        <v>6314169.3159208205</v>
      </c>
      <c r="K371" s="8">
        <f t="shared" si="27"/>
        <v>-419</v>
      </c>
      <c r="L371" s="10">
        <f t="shared" si="28"/>
        <v>1091719874722.71</v>
      </c>
      <c r="M371" s="4">
        <f t="shared" si="29"/>
        <v>-136137242.07395431</v>
      </c>
    </row>
    <row r="372" spans="1:13" x14ac:dyDescent="0.2">
      <c r="A372" s="1">
        <v>1</v>
      </c>
      <c r="B372">
        <v>1</v>
      </c>
      <c r="C372">
        <v>1</v>
      </c>
      <c r="D372">
        <v>599000</v>
      </c>
      <c r="E372">
        <v>1900</v>
      </c>
      <c r="F372">
        <v>624</v>
      </c>
      <c r="G372">
        <v>960</v>
      </c>
      <c r="H372">
        <v>91</v>
      </c>
      <c r="I372" s="4">
        <f t="shared" si="25"/>
        <v>173860</v>
      </c>
      <c r="J372" s="6">
        <f t="shared" si="26"/>
        <v>6855763.199120353</v>
      </c>
      <c r="K372" s="8">
        <f t="shared" si="27"/>
        <v>-533</v>
      </c>
      <c r="L372" s="10">
        <f t="shared" si="28"/>
        <v>1185361457127.9089</v>
      </c>
      <c r="M372" s="4">
        <f t="shared" si="29"/>
        <v>-225712700.12101105</v>
      </c>
    </row>
    <row r="373" spans="1:13" x14ac:dyDescent="0.2">
      <c r="A373" s="1">
        <v>1</v>
      </c>
      <c r="B373">
        <v>1</v>
      </c>
      <c r="C373">
        <v>1</v>
      </c>
      <c r="D373">
        <v>599000</v>
      </c>
      <c r="E373">
        <v>1900</v>
      </c>
      <c r="F373">
        <v>624</v>
      </c>
      <c r="G373">
        <v>960</v>
      </c>
      <c r="H373">
        <v>91</v>
      </c>
      <c r="I373" s="4">
        <f t="shared" si="25"/>
        <v>173860</v>
      </c>
      <c r="J373" s="6">
        <f t="shared" si="26"/>
        <v>6855763.199120353</v>
      </c>
      <c r="K373" s="8">
        <f t="shared" si="27"/>
        <v>-533</v>
      </c>
      <c r="L373" s="10">
        <f t="shared" si="28"/>
        <v>1185361457127.9089</v>
      </c>
      <c r="M373" s="4">
        <f t="shared" si="29"/>
        <v>-225712700.12101105</v>
      </c>
    </row>
    <row r="374" spans="1:13" x14ac:dyDescent="0.2">
      <c r="A374" s="1">
        <v>1</v>
      </c>
      <c r="B374">
        <v>3</v>
      </c>
      <c r="C374">
        <v>2</v>
      </c>
      <c r="D374">
        <v>1200000</v>
      </c>
      <c r="E374">
        <v>1929</v>
      </c>
      <c r="F374">
        <v>1284</v>
      </c>
      <c r="G374">
        <v>935</v>
      </c>
      <c r="H374">
        <v>121</v>
      </c>
      <c r="I374" s="4">
        <f t="shared" si="25"/>
        <v>234344</v>
      </c>
      <c r="J374" s="6">
        <f t="shared" si="26"/>
        <v>12735921.727659581</v>
      </c>
      <c r="K374" s="8">
        <f t="shared" si="27"/>
        <v>-1163</v>
      </c>
      <c r="L374" s="10">
        <f t="shared" si="28"/>
        <v>2972678754531.2949</v>
      </c>
      <c r="M374" s="4">
        <f t="shared" si="29"/>
        <v>-2474344142.2414618</v>
      </c>
    </row>
    <row r="375" spans="1:13" x14ac:dyDescent="0.2">
      <c r="A375" s="1">
        <v>1</v>
      </c>
      <c r="B375">
        <v>3</v>
      </c>
      <c r="C375">
        <v>2</v>
      </c>
      <c r="D375">
        <v>1395000</v>
      </c>
      <c r="E375">
        <v>1909</v>
      </c>
      <c r="F375">
        <v>1877</v>
      </c>
      <c r="G375">
        <v>743</v>
      </c>
      <c r="H375">
        <v>57</v>
      </c>
      <c r="I375" s="4">
        <f t="shared" si="25"/>
        <v>109556</v>
      </c>
      <c r="J375" s="6">
        <f t="shared" si="26"/>
        <v>5764301.5747529799</v>
      </c>
      <c r="K375" s="8">
        <f t="shared" si="27"/>
        <v>-1820</v>
      </c>
      <c r="L375" s="10">
        <f t="shared" si="28"/>
        <v>627230947253.59595</v>
      </c>
      <c r="M375" s="4">
        <f t="shared" si="29"/>
        <v>-949782660.28818142</v>
      </c>
    </row>
    <row r="376" spans="1:13" x14ac:dyDescent="0.2">
      <c r="A376" s="1">
        <v>1</v>
      </c>
      <c r="B376">
        <v>3</v>
      </c>
      <c r="C376">
        <v>3</v>
      </c>
      <c r="D376">
        <v>1785000</v>
      </c>
      <c r="E376">
        <v>1925</v>
      </c>
      <c r="F376">
        <v>1970</v>
      </c>
      <c r="G376">
        <v>906</v>
      </c>
      <c r="H376">
        <v>58</v>
      </c>
      <c r="I376" s="4">
        <f t="shared" si="25"/>
        <v>112556</v>
      </c>
      <c r="J376" s="6">
        <f t="shared" si="26"/>
        <v>7327236.215993017</v>
      </c>
      <c r="K376" s="8">
        <f t="shared" si="27"/>
        <v>-1912</v>
      </c>
      <c r="L376" s="10">
        <f t="shared" si="28"/>
        <v>818085923515.62036</v>
      </c>
      <c r="M376" s="4">
        <f t="shared" si="29"/>
        <v>-1665237534.4848812</v>
      </c>
    </row>
    <row r="377" spans="1:13" x14ac:dyDescent="0.2">
      <c r="A377" s="1">
        <v>1</v>
      </c>
      <c r="B377">
        <v>3</v>
      </c>
      <c r="C377">
        <v>2</v>
      </c>
      <c r="D377">
        <v>1099000</v>
      </c>
      <c r="E377">
        <v>1905</v>
      </c>
      <c r="F377">
        <v>1457</v>
      </c>
      <c r="G377">
        <v>754</v>
      </c>
      <c r="H377">
        <v>67</v>
      </c>
      <c r="I377" s="4">
        <f t="shared" si="25"/>
        <v>128389</v>
      </c>
      <c r="J377" s="6">
        <f t="shared" si="26"/>
        <v>6057965.7373142121</v>
      </c>
      <c r="K377" s="8">
        <f t="shared" si="27"/>
        <v>-1390</v>
      </c>
      <c r="L377" s="10">
        <f t="shared" si="28"/>
        <v>773208456882.09949</v>
      </c>
      <c r="M377" s="4">
        <f t="shared" si="29"/>
        <v>-704466346.61513603</v>
      </c>
    </row>
    <row r="378" spans="1:13" x14ac:dyDescent="0.2">
      <c r="A378" s="1">
        <v>1</v>
      </c>
      <c r="B378">
        <v>5</v>
      </c>
      <c r="C378">
        <v>5.5</v>
      </c>
      <c r="D378">
        <v>3495000</v>
      </c>
      <c r="E378">
        <v>1921</v>
      </c>
      <c r="F378">
        <v>4310</v>
      </c>
      <c r="G378">
        <v>811</v>
      </c>
      <c r="H378">
        <v>73</v>
      </c>
      <c r="I378" s="4">
        <f t="shared" si="25"/>
        <v>141044</v>
      </c>
      <c r="J378" s="6">
        <f t="shared" si="26"/>
        <v>12210494.087737847</v>
      </c>
      <c r="K378" s="8">
        <f t="shared" si="27"/>
        <v>-4237</v>
      </c>
      <c r="L378" s="10">
        <f t="shared" si="28"/>
        <v>1712314217405.7415</v>
      </c>
      <c r="M378" s="4">
        <f t="shared" si="29"/>
        <v>-15123080701.351688</v>
      </c>
    </row>
    <row r="379" spans="1:13" x14ac:dyDescent="0.2">
      <c r="A379" s="1">
        <v>1</v>
      </c>
      <c r="B379">
        <v>3</v>
      </c>
      <c r="C379">
        <v>2</v>
      </c>
      <c r="D379">
        <v>2395000</v>
      </c>
      <c r="E379">
        <v>1929</v>
      </c>
      <c r="F379">
        <v>2323</v>
      </c>
      <c r="G379">
        <v>1031</v>
      </c>
      <c r="H379">
        <v>73</v>
      </c>
      <c r="I379" s="4">
        <f t="shared" si="25"/>
        <v>141848</v>
      </c>
      <c r="J379" s="6">
        <f t="shared" si="26"/>
        <v>11396120.12851624</v>
      </c>
      <c r="K379" s="8">
        <f t="shared" si="27"/>
        <v>-2250</v>
      </c>
      <c r="L379" s="10">
        <f t="shared" si="28"/>
        <v>1604767448137.2712</v>
      </c>
      <c r="M379" s="4">
        <f t="shared" si="29"/>
        <v>-5157643322.4556856</v>
      </c>
    </row>
    <row r="380" spans="1:13" x14ac:dyDescent="0.2">
      <c r="A380" s="1">
        <v>1</v>
      </c>
      <c r="B380">
        <v>4</v>
      </c>
      <c r="C380">
        <v>2.5</v>
      </c>
      <c r="D380">
        <v>2549000</v>
      </c>
      <c r="E380">
        <v>1907</v>
      </c>
      <c r="F380">
        <v>2746</v>
      </c>
      <c r="G380">
        <v>928</v>
      </c>
      <c r="H380">
        <v>75</v>
      </c>
      <c r="I380" s="4">
        <f t="shared" si="25"/>
        <v>143953</v>
      </c>
      <c r="J380" s="6">
        <f t="shared" si="26"/>
        <v>11458041.590524076</v>
      </c>
      <c r="K380" s="8">
        <f t="shared" si="27"/>
        <v>-2671</v>
      </c>
      <c r="L380" s="10">
        <f t="shared" si="28"/>
        <v>1638786398484.7061</v>
      </c>
      <c r="M380" s="4">
        <f t="shared" si="29"/>
        <v>-6654527700.260601</v>
      </c>
    </row>
    <row r="381" spans="1:13" x14ac:dyDescent="0.2">
      <c r="A381" s="1">
        <v>1</v>
      </c>
      <c r="B381">
        <v>3</v>
      </c>
      <c r="C381">
        <v>2</v>
      </c>
      <c r="D381">
        <v>995000</v>
      </c>
      <c r="E381">
        <v>2000</v>
      </c>
      <c r="F381">
        <v>1393</v>
      </c>
      <c r="G381">
        <v>714</v>
      </c>
      <c r="H381">
        <v>75</v>
      </c>
      <c r="I381" s="4">
        <f t="shared" si="25"/>
        <v>150714</v>
      </c>
      <c r="J381" s="6">
        <f t="shared" si="26"/>
        <v>6278934.0517030023</v>
      </c>
      <c r="K381" s="8">
        <f t="shared" si="27"/>
        <v>-1318</v>
      </c>
      <c r="L381" s="10">
        <f t="shared" si="28"/>
        <v>941840107755.45032</v>
      </c>
      <c r="M381" s="4">
        <f t="shared" si="29"/>
        <v>-736659569.1135664</v>
      </c>
    </row>
    <row r="382" spans="1:13" x14ac:dyDescent="0.2">
      <c r="A382" s="1">
        <v>1</v>
      </c>
      <c r="B382">
        <v>5</v>
      </c>
      <c r="C382">
        <v>3.5</v>
      </c>
      <c r="D382">
        <v>6495000</v>
      </c>
      <c r="E382">
        <v>1906</v>
      </c>
      <c r="F382">
        <v>4609</v>
      </c>
      <c r="G382">
        <v>1409</v>
      </c>
      <c r="H382">
        <v>89</v>
      </c>
      <c r="I382" s="4">
        <f t="shared" si="25"/>
        <v>171043</v>
      </c>
      <c r="J382" s="6">
        <f t="shared" si="26"/>
        <v>26745778.40650624</v>
      </c>
      <c r="K382" s="8">
        <f t="shared" si="27"/>
        <v>-4520</v>
      </c>
      <c r="L382" s="10">
        <f t="shared" si="28"/>
        <v>4536993374209.2793</v>
      </c>
      <c r="M382" s="4">
        <f t="shared" si="29"/>
        <v>-79439572470.470428</v>
      </c>
    </row>
    <row r="383" spans="1:13" x14ac:dyDescent="0.2">
      <c r="A383" s="1">
        <v>1</v>
      </c>
      <c r="B383">
        <v>4</v>
      </c>
      <c r="C383">
        <v>3</v>
      </c>
      <c r="D383">
        <v>1698000</v>
      </c>
      <c r="E383">
        <v>1890</v>
      </c>
      <c r="F383">
        <v>1789</v>
      </c>
      <c r="G383">
        <v>949</v>
      </c>
      <c r="H383">
        <v>102</v>
      </c>
      <c r="I383" s="4">
        <f t="shared" si="25"/>
        <v>193729</v>
      </c>
      <c r="J383" s="6">
        <f t="shared" si="26"/>
        <v>12862412.777185073</v>
      </c>
      <c r="K383" s="8">
        <f t="shared" si="27"/>
        <v>-1687</v>
      </c>
      <c r="L383" s="10">
        <f t="shared" si="28"/>
        <v>2479615935185.7383</v>
      </c>
      <c r="M383" s="4">
        <f t="shared" si="29"/>
        <v>-4236316020.4673333</v>
      </c>
    </row>
    <row r="384" spans="1:13" x14ac:dyDescent="0.2">
      <c r="A384" s="1">
        <v>1</v>
      </c>
      <c r="B384">
        <v>5</v>
      </c>
      <c r="C384">
        <v>2</v>
      </c>
      <c r="D384">
        <v>6298000</v>
      </c>
      <c r="E384">
        <v>1914</v>
      </c>
      <c r="F384">
        <v>3585</v>
      </c>
      <c r="G384">
        <v>1757</v>
      </c>
      <c r="H384">
        <v>26</v>
      </c>
      <c r="I384" s="4">
        <f t="shared" si="25"/>
        <v>51521</v>
      </c>
      <c r="J384" s="6">
        <f t="shared" si="26"/>
        <v>8592916.2247743774</v>
      </c>
      <c r="K384" s="8">
        <f t="shared" si="27"/>
        <v>-3559</v>
      </c>
      <c r="L384" s="10">
        <f t="shared" si="28"/>
        <v>427617883009.67212</v>
      </c>
      <c r="M384" s="4">
        <f t="shared" si="29"/>
        <v>-5716598175.9770603</v>
      </c>
    </row>
    <row r="385" spans="1:13" x14ac:dyDescent="0.2">
      <c r="A385" s="1">
        <v>1</v>
      </c>
      <c r="B385">
        <v>3</v>
      </c>
      <c r="C385">
        <v>3</v>
      </c>
      <c r="D385">
        <v>1139000</v>
      </c>
      <c r="E385">
        <v>2008</v>
      </c>
      <c r="F385">
        <v>1532</v>
      </c>
      <c r="G385">
        <v>743</v>
      </c>
      <c r="H385">
        <v>44</v>
      </c>
      <c r="I385" s="4">
        <f t="shared" si="25"/>
        <v>89095</v>
      </c>
      <c r="J385" s="6">
        <f t="shared" si="26"/>
        <v>4019960.2724367501</v>
      </c>
      <c r="K385" s="8">
        <f t="shared" si="27"/>
        <v>-1488</v>
      </c>
      <c r="L385" s="10">
        <f t="shared" si="28"/>
        <v>355171529990.33173</v>
      </c>
      <c r="M385" s="4">
        <f t="shared" si="29"/>
        <v>-359017785.98722535</v>
      </c>
    </row>
    <row r="386" spans="1:13" x14ac:dyDescent="0.2">
      <c r="A386" s="1">
        <v>1</v>
      </c>
      <c r="B386">
        <v>3</v>
      </c>
      <c r="C386">
        <v>2</v>
      </c>
      <c r="D386">
        <v>1080000</v>
      </c>
      <c r="E386">
        <v>1914</v>
      </c>
      <c r="F386">
        <v>1954</v>
      </c>
      <c r="G386">
        <v>553</v>
      </c>
      <c r="H386">
        <v>49</v>
      </c>
      <c r="I386" s="4">
        <f t="shared" si="25"/>
        <v>94339</v>
      </c>
      <c r="J386" s="6">
        <f t="shared" si="26"/>
        <v>3763001.3947201357</v>
      </c>
      <c r="K386" s="8">
        <f t="shared" si="27"/>
        <v>-1905</v>
      </c>
      <c r="L386" s="10">
        <f t="shared" si="28"/>
        <v>352916848805.22266</v>
      </c>
      <c r="M386" s="4">
        <f t="shared" si="29"/>
        <v>-433054236.11774033</v>
      </c>
    </row>
    <row r="387" spans="1:13" x14ac:dyDescent="0.2">
      <c r="A387" s="1">
        <v>1</v>
      </c>
      <c r="B387">
        <v>4</v>
      </c>
      <c r="C387">
        <v>1</v>
      </c>
      <c r="D387">
        <v>1050000</v>
      </c>
      <c r="E387">
        <v>1932</v>
      </c>
      <c r="F387">
        <v>1767</v>
      </c>
      <c r="G387">
        <v>594</v>
      </c>
      <c r="H387">
        <v>55</v>
      </c>
      <c r="I387" s="4">
        <f t="shared" ref="I387:I450" si="30">+(H387*E387)+G387</f>
        <v>106854</v>
      </c>
      <c r="J387" s="6">
        <f t="shared" ref="J387:J450" si="31">+(3.1416*G387*H387)*SQRT(F387)</f>
        <v>4314379.0408314951</v>
      </c>
      <c r="K387" s="8">
        <f t="shared" ref="K387:K450" si="32">+H387-F387</f>
        <v>-1712</v>
      </c>
      <c r="L387" s="10">
        <f t="shared" ref="L387:L450" si="33">+J387*E387*H387</f>
        <v>458445916878.7547</v>
      </c>
      <c r="M387" s="4">
        <f t="shared" ref="M387:M450" si="34">(K387*L387/465743*D387)/3600000</f>
        <v>-491509969.72176683</v>
      </c>
    </row>
    <row r="388" spans="1:13" x14ac:dyDescent="0.2">
      <c r="A388" s="1">
        <v>1</v>
      </c>
      <c r="B388">
        <v>1</v>
      </c>
      <c r="C388">
        <v>1</v>
      </c>
      <c r="D388">
        <v>739900</v>
      </c>
      <c r="E388">
        <v>1941</v>
      </c>
      <c r="F388">
        <v>875</v>
      </c>
      <c r="G388">
        <v>846</v>
      </c>
      <c r="H388">
        <v>70</v>
      </c>
      <c r="I388" s="4">
        <f t="shared" si="30"/>
        <v>136716</v>
      </c>
      <c r="J388" s="6">
        <f t="shared" si="31"/>
        <v>5503301.6446140418</v>
      </c>
      <c r="K388" s="8">
        <f t="shared" si="32"/>
        <v>-805</v>
      </c>
      <c r="L388" s="10">
        <f t="shared" si="33"/>
        <v>747733594453.70984</v>
      </c>
      <c r="M388" s="4">
        <f t="shared" si="34"/>
        <v>-265623786.83196133</v>
      </c>
    </row>
    <row r="389" spans="1:13" x14ac:dyDescent="0.2">
      <c r="A389" s="1">
        <v>1</v>
      </c>
      <c r="B389">
        <v>4</v>
      </c>
      <c r="C389">
        <v>4</v>
      </c>
      <c r="D389">
        <v>1595000</v>
      </c>
      <c r="E389">
        <v>1925</v>
      </c>
      <c r="F389">
        <v>2750</v>
      </c>
      <c r="G389">
        <v>580</v>
      </c>
      <c r="H389">
        <v>81</v>
      </c>
      <c r="I389" s="4">
        <f t="shared" si="30"/>
        <v>156505</v>
      </c>
      <c r="J389" s="6">
        <f t="shared" si="31"/>
        <v>7739809.0740392562</v>
      </c>
      <c r="K389" s="8">
        <f t="shared" si="32"/>
        <v>-2669</v>
      </c>
      <c r="L389" s="10">
        <f t="shared" si="33"/>
        <v>1206829729869.571</v>
      </c>
      <c r="M389" s="4">
        <f t="shared" si="34"/>
        <v>-3064124620.7612271</v>
      </c>
    </row>
    <row r="390" spans="1:13" x14ac:dyDescent="0.2">
      <c r="A390" s="1">
        <v>1</v>
      </c>
      <c r="B390">
        <v>2</v>
      </c>
      <c r="C390">
        <v>1</v>
      </c>
      <c r="D390">
        <v>699000</v>
      </c>
      <c r="E390">
        <v>1907</v>
      </c>
      <c r="F390">
        <v>1200</v>
      </c>
      <c r="G390">
        <v>583</v>
      </c>
      <c r="H390">
        <v>14</v>
      </c>
      <c r="I390" s="4">
        <f t="shared" si="30"/>
        <v>27281</v>
      </c>
      <c r="J390" s="6">
        <f t="shared" si="31"/>
        <v>888255.90177661087</v>
      </c>
      <c r="K390" s="8">
        <f t="shared" si="32"/>
        <v>-1186</v>
      </c>
      <c r="L390" s="10">
        <f t="shared" si="33"/>
        <v>23714656065.631958</v>
      </c>
      <c r="M390" s="4">
        <f t="shared" si="34"/>
        <v>-11725459.154985698</v>
      </c>
    </row>
    <row r="391" spans="1:13" x14ac:dyDescent="0.2">
      <c r="A391" s="1">
        <v>1</v>
      </c>
      <c r="B391">
        <v>2</v>
      </c>
      <c r="C391">
        <v>1</v>
      </c>
      <c r="D391">
        <v>799000</v>
      </c>
      <c r="E391">
        <v>1938</v>
      </c>
      <c r="F391">
        <v>1150</v>
      </c>
      <c r="G391">
        <v>695</v>
      </c>
      <c r="H391">
        <v>36</v>
      </c>
      <c r="I391" s="4">
        <f t="shared" si="30"/>
        <v>70463</v>
      </c>
      <c r="J391" s="6">
        <f t="shared" si="31"/>
        <v>2665551.7211607913</v>
      </c>
      <c r="K391" s="8">
        <f t="shared" si="32"/>
        <v>-1114</v>
      </c>
      <c r="L391" s="10">
        <f t="shared" si="33"/>
        <v>185970212481.94608</v>
      </c>
      <c r="M391" s="4">
        <f t="shared" si="34"/>
        <v>-98724858.599416807</v>
      </c>
    </row>
    <row r="392" spans="1:13" x14ac:dyDescent="0.2">
      <c r="A392" s="1">
        <v>1</v>
      </c>
      <c r="B392">
        <v>4</v>
      </c>
      <c r="C392">
        <v>2.5</v>
      </c>
      <c r="D392">
        <v>995000</v>
      </c>
      <c r="E392">
        <v>1915</v>
      </c>
      <c r="F392">
        <v>2180</v>
      </c>
      <c r="G392">
        <v>456</v>
      </c>
      <c r="H392">
        <v>62</v>
      </c>
      <c r="I392" s="4">
        <f t="shared" si="30"/>
        <v>119186</v>
      </c>
      <c r="J392" s="6">
        <f t="shared" si="31"/>
        <v>4147015.582399149</v>
      </c>
      <c r="K392" s="8">
        <f t="shared" si="32"/>
        <v>-2118</v>
      </c>
      <c r="L392" s="10">
        <f t="shared" si="33"/>
        <v>492375160098.25098</v>
      </c>
      <c r="M392" s="4">
        <f t="shared" si="34"/>
        <v>-618865588.09296536</v>
      </c>
    </row>
    <row r="393" spans="1:13" x14ac:dyDescent="0.2">
      <c r="A393" s="1">
        <v>1</v>
      </c>
      <c r="B393">
        <v>2</v>
      </c>
      <c r="C393">
        <v>1</v>
      </c>
      <c r="D393">
        <v>829000</v>
      </c>
      <c r="E393">
        <v>1925</v>
      </c>
      <c r="F393">
        <v>1145</v>
      </c>
      <c r="G393">
        <v>724</v>
      </c>
      <c r="H393">
        <v>71</v>
      </c>
      <c r="I393" s="4">
        <f t="shared" si="30"/>
        <v>137399</v>
      </c>
      <c r="J393" s="6">
        <f t="shared" si="31"/>
        <v>5464501.4623222509</v>
      </c>
      <c r="K393" s="8">
        <f t="shared" si="32"/>
        <v>-1074</v>
      </c>
      <c r="L393" s="10">
        <f t="shared" si="33"/>
        <v>746860737362.89368</v>
      </c>
      <c r="M393" s="4">
        <f t="shared" si="34"/>
        <v>-396597163.66471469</v>
      </c>
    </row>
    <row r="394" spans="1:13" x14ac:dyDescent="0.2">
      <c r="A394" s="1">
        <v>1</v>
      </c>
      <c r="B394">
        <v>2</v>
      </c>
      <c r="C394">
        <v>1</v>
      </c>
      <c r="D394">
        <v>875000</v>
      </c>
      <c r="E394">
        <v>1908</v>
      </c>
      <c r="F394">
        <v>1158</v>
      </c>
      <c r="G394">
        <v>756</v>
      </c>
      <c r="H394">
        <v>84</v>
      </c>
      <c r="I394" s="4">
        <f t="shared" si="30"/>
        <v>161028</v>
      </c>
      <c r="J394" s="6">
        <f t="shared" si="31"/>
        <v>6789006.8914304683</v>
      </c>
      <c r="K394" s="8">
        <f t="shared" si="32"/>
        <v>-1074</v>
      </c>
      <c r="L394" s="10">
        <f t="shared" si="33"/>
        <v>1088087712503.344</v>
      </c>
      <c r="M394" s="4">
        <f t="shared" si="34"/>
        <v>-609856143.73462141</v>
      </c>
    </row>
    <row r="395" spans="1:13" x14ac:dyDescent="0.2">
      <c r="A395" s="1">
        <v>1</v>
      </c>
      <c r="B395">
        <v>5</v>
      </c>
      <c r="C395">
        <v>3</v>
      </c>
      <c r="D395">
        <v>950000</v>
      </c>
      <c r="E395">
        <v>1939</v>
      </c>
      <c r="F395">
        <v>1846</v>
      </c>
      <c r="G395">
        <v>515</v>
      </c>
      <c r="H395">
        <v>97</v>
      </c>
      <c r="I395" s="4">
        <f t="shared" si="30"/>
        <v>188598</v>
      </c>
      <c r="J395" s="6">
        <f t="shared" si="31"/>
        <v>6742884.1782602435</v>
      </c>
      <c r="K395" s="8">
        <f t="shared" si="32"/>
        <v>-1749</v>
      </c>
      <c r="L395" s="10">
        <f t="shared" si="33"/>
        <v>1268221884899.7214</v>
      </c>
      <c r="M395" s="4">
        <f t="shared" si="34"/>
        <v>-1256781620.8934088</v>
      </c>
    </row>
    <row r="396" spans="1:13" x14ac:dyDescent="0.2">
      <c r="A396" s="1">
        <v>1</v>
      </c>
      <c r="B396">
        <v>2</v>
      </c>
      <c r="C396">
        <v>1</v>
      </c>
      <c r="D396">
        <v>749000</v>
      </c>
      <c r="E396">
        <v>1936</v>
      </c>
      <c r="F396">
        <v>1450</v>
      </c>
      <c r="G396">
        <v>517</v>
      </c>
      <c r="H396">
        <v>110</v>
      </c>
      <c r="I396" s="4">
        <f t="shared" si="30"/>
        <v>213477</v>
      </c>
      <c r="J396" s="6">
        <f t="shared" si="31"/>
        <v>6803276.4316607881</v>
      </c>
      <c r="K396" s="8">
        <f t="shared" si="32"/>
        <v>-1340</v>
      </c>
      <c r="L396" s="10">
        <f t="shared" si="33"/>
        <v>1448825748886.4814</v>
      </c>
      <c r="M396" s="4">
        <f t="shared" si="34"/>
        <v>-867269223.06424963</v>
      </c>
    </row>
    <row r="397" spans="1:13" x14ac:dyDescent="0.2">
      <c r="A397" s="1">
        <v>1</v>
      </c>
      <c r="B397">
        <v>2</v>
      </c>
      <c r="C397">
        <v>1</v>
      </c>
      <c r="D397">
        <v>749000</v>
      </c>
      <c r="E397">
        <v>1936</v>
      </c>
      <c r="F397">
        <v>1450</v>
      </c>
      <c r="G397">
        <v>517</v>
      </c>
      <c r="H397">
        <v>110</v>
      </c>
      <c r="I397" s="4">
        <f t="shared" si="30"/>
        <v>213477</v>
      </c>
      <c r="J397" s="6">
        <f t="shared" si="31"/>
        <v>6803276.4316607881</v>
      </c>
      <c r="K397" s="8">
        <f t="shared" si="32"/>
        <v>-1340</v>
      </c>
      <c r="L397" s="10">
        <f t="shared" si="33"/>
        <v>1448825748886.4814</v>
      </c>
      <c r="M397" s="4">
        <f t="shared" si="34"/>
        <v>-867269223.06424963</v>
      </c>
    </row>
    <row r="398" spans="1:13" x14ac:dyDescent="0.2">
      <c r="A398" s="1">
        <v>1</v>
      </c>
      <c r="B398">
        <v>6</v>
      </c>
      <c r="C398">
        <v>6.5</v>
      </c>
      <c r="D398">
        <v>9500000</v>
      </c>
      <c r="E398">
        <v>1937</v>
      </c>
      <c r="F398">
        <v>5420</v>
      </c>
      <c r="G398">
        <v>1753</v>
      </c>
      <c r="H398">
        <v>3</v>
      </c>
      <c r="I398" s="4">
        <f t="shared" si="30"/>
        <v>7564</v>
      </c>
      <c r="J398" s="6">
        <f t="shared" si="31"/>
        <v>1216336.3964748878</v>
      </c>
      <c r="K398" s="8">
        <f t="shared" si="32"/>
        <v>-5417</v>
      </c>
      <c r="L398" s="10">
        <f t="shared" si="33"/>
        <v>7068130799.9155731</v>
      </c>
      <c r="M398" s="4">
        <f t="shared" si="34"/>
        <v>-216939273.59071371</v>
      </c>
    </row>
    <row r="399" spans="1:13" x14ac:dyDescent="0.2">
      <c r="A399" s="1">
        <v>1</v>
      </c>
      <c r="B399">
        <v>4</v>
      </c>
      <c r="C399">
        <v>3</v>
      </c>
      <c r="D399">
        <v>3595000</v>
      </c>
      <c r="E399">
        <v>1931</v>
      </c>
      <c r="F399">
        <v>3017</v>
      </c>
      <c r="G399">
        <v>1192</v>
      </c>
      <c r="H399">
        <v>9</v>
      </c>
      <c r="I399" s="4">
        <f t="shared" si="30"/>
        <v>18571</v>
      </c>
      <c r="J399" s="6">
        <f t="shared" si="31"/>
        <v>1851216.9078294374</v>
      </c>
      <c r="K399" s="8">
        <f t="shared" si="32"/>
        <v>-3008</v>
      </c>
      <c r="L399" s="10">
        <f t="shared" si="33"/>
        <v>32172298641.167793</v>
      </c>
      <c r="M399" s="4">
        <f t="shared" si="34"/>
        <v>-207496120.38894758</v>
      </c>
    </row>
    <row r="400" spans="1:13" x14ac:dyDescent="0.2">
      <c r="A400" s="1">
        <v>1</v>
      </c>
      <c r="B400">
        <v>2</v>
      </c>
      <c r="C400">
        <v>1.5</v>
      </c>
      <c r="D400">
        <v>1425000</v>
      </c>
      <c r="E400">
        <v>1925</v>
      </c>
      <c r="F400">
        <v>1360</v>
      </c>
      <c r="G400">
        <v>1048</v>
      </c>
      <c r="H400">
        <v>14</v>
      </c>
      <c r="I400" s="4">
        <f t="shared" si="30"/>
        <v>27998</v>
      </c>
      <c r="J400" s="6">
        <f t="shared" si="31"/>
        <v>1699846.3254443351</v>
      </c>
      <c r="K400" s="8">
        <f t="shared" si="32"/>
        <v>-1346</v>
      </c>
      <c r="L400" s="10">
        <f t="shared" si="33"/>
        <v>45810858470.724831</v>
      </c>
      <c r="M400" s="4">
        <f t="shared" si="34"/>
        <v>-52405819.5958893</v>
      </c>
    </row>
    <row r="401" spans="1:13" x14ac:dyDescent="0.2">
      <c r="A401" s="1">
        <v>1</v>
      </c>
      <c r="B401">
        <v>1</v>
      </c>
      <c r="C401">
        <v>1</v>
      </c>
      <c r="D401">
        <v>865000</v>
      </c>
      <c r="E401">
        <v>1993</v>
      </c>
      <c r="F401">
        <v>960</v>
      </c>
      <c r="G401">
        <v>901</v>
      </c>
      <c r="H401">
        <v>17</v>
      </c>
      <c r="I401" s="4">
        <f t="shared" si="30"/>
        <v>34782</v>
      </c>
      <c r="J401" s="6">
        <f t="shared" si="31"/>
        <v>1490940.1739758356</v>
      </c>
      <c r="K401" s="8">
        <f t="shared" si="32"/>
        <v>-943</v>
      </c>
      <c r="L401" s="10">
        <f t="shared" si="33"/>
        <v>50514544034.475288</v>
      </c>
      <c r="M401" s="4">
        <f t="shared" si="34"/>
        <v>-24575106.03499338</v>
      </c>
    </row>
    <row r="402" spans="1:13" x14ac:dyDescent="0.2">
      <c r="A402" s="1">
        <v>1</v>
      </c>
      <c r="B402">
        <v>2</v>
      </c>
      <c r="C402">
        <v>2.5</v>
      </c>
      <c r="D402">
        <v>2495000</v>
      </c>
      <c r="E402">
        <v>1940</v>
      </c>
      <c r="F402">
        <v>1809</v>
      </c>
      <c r="G402">
        <v>1379</v>
      </c>
      <c r="H402">
        <v>48</v>
      </c>
      <c r="I402" s="4">
        <f t="shared" si="30"/>
        <v>94499</v>
      </c>
      <c r="J402" s="6">
        <f t="shared" si="31"/>
        <v>8844548.6520903446</v>
      </c>
      <c r="K402" s="8">
        <f t="shared" si="32"/>
        <v>-1761</v>
      </c>
      <c r="L402" s="10">
        <f t="shared" si="33"/>
        <v>823604370482.65295</v>
      </c>
      <c r="M402" s="4">
        <f t="shared" si="34"/>
        <v>-2158239871.3022823</v>
      </c>
    </row>
    <row r="403" spans="1:13" x14ac:dyDescent="0.2">
      <c r="A403" s="1">
        <v>1</v>
      </c>
      <c r="B403">
        <v>2</v>
      </c>
      <c r="C403">
        <v>2</v>
      </c>
      <c r="D403">
        <v>2000000</v>
      </c>
      <c r="E403">
        <v>1925</v>
      </c>
      <c r="F403">
        <v>1518</v>
      </c>
      <c r="G403">
        <v>1318</v>
      </c>
      <c r="H403">
        <v>50</v>
      </c>
      <c r="I403" s="4">
        <f t="shared" si="30"/>
        <v>97568</v>
      </c>
      <c r="J403" s="6">
        <f t="shared" si="31"/>
        <v>8066259.4820265304</v>
      </c>
      <c r="K403" s="8">
        <f t="shared" si="32"/>
        <v>-1468</v>
      </c>
      <c r="L403" s="10">
        <f t="shared" si="33"/>
        <v>776377475145.05359</v>
      </c>
      <c r="M403" s="4">
        <f t="shared" si="34"/>
        <v>-1359502908.3909879</v>
      </c>
    </row>
    <row r="404" spans="1:13" x14ac:dyDescent="0.2">
      <c r="A404" s="1">
        <v>1</v>
      </c>
      <c r="B404">
        <v>4</v>
      </c>
      <c r="C404">
        <v>3.5</v>
      </c>
      <c r="D404">
        <v>9895000</v>
      </c>
      <c r="E404">
        <v>2008</v>
      </c>
      <c r="F404">
        <v>6024</v>
      </c>
      <c r="G404">
        <v>1643</v>
      </c>
      <c r="H404">
        <v>62</v>
      </c>
      <c r="I404" s="4">
        <f t="shared" si="30"/>
        <v>126139</v>
      </c>
      <c r="J404" s="6">
        <f t="shared" si="31"/>
        <v>24838343.154585317</v>
      </c>
      <c r="K404" s="8">
        <f t="shared" si="32"/>
        <v>-5962</v>
      </c>
      <c r="L404" s="10">
        <f t="shared" si="33"/>
        <v>3092274369373.2539</v>
      </c>
      <c r="M404" s="4">
        <f t="shared" si="34"/>
        <v>-108802018867.38087</v>
      </c>
    </row>
    <row r="405" spans="1:13" x14ac:dyDescent="0.2">
      <c r="A405" s="1">
        <v>1</v>
      </c>
      <c r="B405">
        <v>3</v>
      </c>
      <c r="C405">
        <v>2</v>
      </c>
      <c r="D405">
        <v>358000</v>
      </c>
      <c r="E405">
        <v>1989</v>
      </c>
      <c r="F405">
        <v>1325</v>
      </c>
      <c r="G405">
        <v>270</v>
      </c>
      <c r="H405">
        <v>5</v>
      </c>
      <c r="I405" s="4">
        <f t="shared" si="30"/>
        <v>10215</v>
      </c>
      <c r="J405" s="6">
        <f t="shared" si="31"/>
        <v>154380.5542901048</v>
      </c>
      <c r="K405" s="8">
        <f t="shared" si="32"/>
        <v>-1320</v>
      </c>
      <c r="L405" s="10">
        <f t="shared" si="33"/>
        <v>1535314612.4150922</v>
      </c>
      <c r="M405" s="4">
        <f t="shared" si="34"/>
        <v>-432718.54103304702</v>
      </c>
    </row>
    <row r="406" spans="1:13" x14ac:dyDescent="0.2">
      <c r="A406" s="1">
        <v>1</v>
      </c>
      <c r="B406">
        <v>3</v>
      </c>
      <c r="C406">
        <v>2.5</v>
      </c>
      <c r="D406">
        <v>899000</v>
      </c>
      <c r="E406">
        <v>2015</v>
      </c>
      <c r="F406">
        <v>1391</v>
      </c>
      <c r="G406">
        <v>646</v>
      </c>
      <c r="H406">
        <v>5</v>
      </c>
      <c r="I406" s="4">
        <f t="shared" si="30"/>
        <v>10721</v>
      </c>
      <c r="J406" s="6">
        <f t="shared" si="31"/>
        <v>378457.37747129041</v>
      </c>
      <c r="K406" s="8">
        <f t="shared" si="32"/>
        <v>-1386</v>
      </c>
      <c r="L406" s="10">
        <f t="shared" si="33"/>
        <v>3812958078.0232506</v>
      </c>
      <c r="M406" s="4">
        <f t="shared" si="34"/>
        <v>-2833584.1551564219</v>
      </c>
    </row>
    <row r="407" spans="1:13" x14ac:dyDescent="0.2">
      <c r="A407" s="1">
        <v>1</v>
      </c>
      <c r="B407">
        <v>3</v>
      </c>
      <c r="C407">
        <v>2.5</v>
      </c>
      <c r="D407">
        <v>929000</v>
      </c>
      <c r="E407">
        <v>2015</v>
      </c>
      <c r="F407">
        <v>1391</v>
      </c>
      <c r="G407">
        <v>668</v>
      </c>
      <c r="H407">
        <v>5</v>
      </c>
      <c r="I407" s="4">
        <f t="shared" si="30"/>
        <v>10743</v>
      </c>
      <c r="J407" s="6">
        <f t="shared" si="31"/>
        <v>391346.01880932198</v>
      </c>
      <c r="K407" s="8">
        <f t="shared" si="32"/>
        <v>-1386</v>
      </c>
      <c r="L407" s="10">
        <f t="shared" si="33"/>
        <v>3942811139.5039186</v>
      </c>
      <c r="M407" s="4">
        <f t="shared" si="34"/>
        <v>-3027862.0316583808</v>
      </c>
    </row>
    <row r="408" spans="1:13" x14ac:dyDescent="0.2">
      <c r="A408" s="1">
        <v>1</v>
      </c>
      <c r="B408">
        <v>4</v>
      </c>
      <c r="C408">
        <v>4</v>
      </c>
      <c r="D408">
        <v>850000</v>
      </c>
      <c r="E408">
        <v>1928</v>
      </c>
      <c r="F408">
        <v>2470</v>
      </c>
      <c r="G408">
        <v>344</v>
      </c>
      <c r="H408">
        <v>8</v>
      </c>
      <c r="I408" s="4">
        <f t="shared" si="30"/>
        <v>15768</v>
      </c>
      <c r="J408" s="6">
        <f t="shared" si="31"/>
        <v>429682.62688531255</v>
      </c>
      <c r="K408" s="8">
        <f t="shared" si="32"/>
        <v>-2462</v>
      </c>
      <c r="L408" s="10">
        <f t="shared" si="33"/>
        <v>6627424837.0790606</v>
      </c>
      <c r="M408" s="4">
        <f t="shared" si="34"/>
        <v>-8271855.6732380958</v>
      </c>
    </row>
    <row r="409" spans="1:13" x14ac:dyDescent="0.2">
      <c r="A409" s="1">
        <v>1</v>
      </c>
      <c r="B409">
        <v>2</v>
      </c>
      <c r="C409">
        <v>1</v>
      </c>
      <c r="D409">
        <v>648000</v>
      </c>
      <c r="E409">
        <v>1921</v>
      </c>
      <c r="F409">
        <v>1125</v>
      </c>
      <c r="G409">
        <v>576</v>
      </c>
      <c r="H409">
        <v>11</v>
      </c>
      <c r="I409" s="4">
        <f t="shared" si="30"/>
        <v>21707</v>
      </c>
      <c r="J409" s="6">
        <f t="shared" si="31"/>
        <v>667639.95326709165</v>
      </c>
      <c r="K409" s="8">
        <f t="shared" si="32"/>
        <v>-1114</v>
      </c>
      <c r="L409" s="10">
        <f t="shared" si="33"/>
        <v>14107899852.486914</v>
      </c>
      <c r="M409" s="4">
        <f t="shared" si="34"/>
        <v>-6073985.1772773322</v>
      </c>
    </row>
    <row r="410" spans="1:13" x14ac:dyDescent="0.2">
      <c r="A410" s="1">
        <v>1</v>
      </c>
      <c r="B410">
        <v>2</v>
      </c>
      <c r="C410">
        <v>1</v>
      </c>
      <c r="D410">
        <v>480000</v>
      </c>
      <c r="E410">
        <v>1915</v>
      </c>
      <c r="F410">
        <v>680</v>
      </c>
      <c r="G410">
        <v>706</v>
      </c>
      <c r="H410">
        <v>13</v>
      </c>
      <c r="I410" s="4">
        <f t="shared" si="30"/>
        <v>25601</v>
      </c>
      <c r="J410" s="6">
        <f t="shared" si="31"/>
        <v>751888.42305129056</v>
      </c>
      <c r="K410" s="8">
        <f t="shared" si="32"/>
        <v>-667</v>
      </c>
      <c r="L410" s="10">
        <f t="shared" si="33"/>
        <v>18718262291.861877</v>
      </c>
      <c r="M410" s="4">
        <f t="shared" si="34"/>
        <v>-3574240.428354085</v>
      </c>
    </row>
    <row r="411" spans="1:13" x14ac:dyDescent="0.2">
      <c r="A411" s="1">
        <v>1</v>
      </c>
      <c r="B411">
        <v>1</v>
      </c>
      <c r="C411">
        <v>1</v>
      </c>
      <c r="D411">
        <v>499000</v>
      </c>
      <c r="E411">
        <v>1900</v>
      </c>
      <c r="F411">
        <v>1076</v>
      </c>
      <c r="G411">
        <v>464</v>
      </c>
      <c r="H411">
        <v>19</v>
      </c>
      <c r="I411" s="4">
        <f t="shared" si="30"/>
        <v>36564</v>
      </c>
      <c r="J411" s="6">
        <f t="shared" si="31"/>
        <v>908507.68523102324</v>
      </c>
      <c r="K411" s="8">
        <f t="shared" si="32"/>
        <v>-1057</v>
      </c>
      <c r="L411" s="10">
        <f t="shared" si="33"/>
        <v>32797127436.839939</v>
      </c>
      <c r="M411" s="4">
        <f t="shared" si="34"/>
        <v>-10317215.53080488</v>
      </c>
    </row>
    <row r="412" spans="1:13" x14ac:dyDescent="0.2">
      <c r="A412" s="1">
        <v>1</v>
      </c>
      <c r="B412">
        <v>4</v>
      </c>
      <c r="C412">
        <v>2</v>
      </c>
      <c r="D412">
        <v>689000</v>
      </c>
      <c r="E412">
        <v>1951</v>
      </c>
      <c r="F412">
        <v>1473</v>
      </c>
      <c r="G412">
        <v>468</v>
      </c>
      <c r="H412">
        <v>21</v>
      </c>
      <c r="I412" s="4">
        <f t="shared" si="30"/>
        <v>41439</v>
      </c>
      <c r="J412" s="6">
        <f t="shared" si="31"/>
        <v>1184997.4328219555</v>
      </c>
      <c r="K412" s="8">
        <f t="shared" si="32"/>
        <v>-1452</v>
      </c>
      <c r="L412" s="10">
        <f t="shared" si="33"/>
        <v>48550529820.148338</v>
      </c>
      <c r="M412" s="4">
        <f t="shared" si="34"/>
        <v>-28968831.312375758</v>
      </c>
    </row>
    <row r="413" spans="1:13" x14ac:dyDescent="0.2">
      <c r="A413" s="1">
        <v>1</v>
      </c>
      <c r="B413">
        <v>2</v>
      </c>
      <c r="C413">
        <v>2</v>
      </c>
      <c r="D413">
        <v>669000</v>
      </c>
      <c r="E413">
        <v>1986</v>
      </c>
      <c r="F413">
        <v>1317</v>
      </c>
      <c r="G413">
        <v>508</v>
      </c>
      <c r="H413">
        <v>23</v>
      </c>
      <c r="I413" s="4">
        <f t="shared" si="30"/>
        <v>46186</v>
      </c>
      <c r="J413" s="6">
        <f t="shared" si="31"/>
        <v>1332095.386041702</v>
      </c>
      <c r="K413" s="8">
        <f t="shared" si="32"/>
        <v>-1294</v>
      </c>
      <c r="L413" s="10">
        <f t="shared" si="33"/>
        <v>60847453043.612862</v>
      </c>
      <c r="M413" s="4">
        <f t="shared" si="34"/>
        <v>-31416222.296364829</v>
      </c>
    </row>
    <row r="414" spans="1:13" x14ac:dyDescent="0.2">
      <c r="A414" s="1">
        <v>1</v>
      </c>
      <c r="B414">
        <v>2</v>
      </c>
      <c r="C414">
        <v>1.5</v>
      </c>
      <c r="D414">
        <v>729000</v>
      </c>
      <c r="E414">
        <v>1942</v>
      </c>
      <c r="F414">
        <v>1012</v>
      </c>
      <c r="G414">
        <v>720</v>
      </c>
      <c r="H414">
        <v>27</v>
      </c>
      <c r="I414" s="4">
        <f t="shared" si="30"/>
        <v>53154</v>
      </c>
      <c r="J414" s="6">
        <f t="shared" si="31"/>
        <v>1942841.6497383604</v>
      </c>
      <c r="K414" s="8">
        <f t="shared" si="32"/>
        <v>-985</v>
      </c>
      <c r="L414" s="10">
        <f t="shared" si="33"/>
        <v>101870959062.3812</v>
      </c>
      <c r="M414" s="4">
        <f t="shared" si="34"/>
        <v>-43628001.219514221</v>
      </c>
    </row>
    <row r="415" spans="1:13" x14ac:dyDescent="0.2">
      <c r="A415" s="1">
        <v>1</v>
      </c>
      <c r="B415">
        <v>2</v>
      </c>
      <c r="C415">
        <v>2</v>
      </c>
      <c r="D415">
        <v>767000</v>
      </c>
      <c r="E415">
        <v>1916</v>
      </c>
      <c r="F415">
        <v>1380</v>
      </c>
      <c r="G415">
        <v>556</v>
      </c>
      <c r="H415">
        <v>31</v>
      </c>
      <c r="I415" s="4">
        <f t="shared" si="30"/>
        <v>59952</v>
      </c>
      <c r="J415" s="6">
        <f t="shared" si="31"/>
        <v>2011531.8658742695</v>
      </c>
      <c r="K415" s="8">
        <f t="shared" si="32"/>
        <v>-1349</v>
      </c>
      <c r="L415" s="10">
        <f t="shared" si="33"/>
        <v>119476946705.46811</v>
      </c>
      <c r="M415" s="4">
        <f t="shared" si="34"/>
        <v>-73729721.260231167</v>
      </c>
    </row>
    <row r="416" spans="1:13" x14ac:dyDescent="0.2">
      <c r="A416" s="1">
        <v>1</v>
      </c>
      <c r="B416">
        <v>3</v>
      </c>
      <c r="C416">
        <v>1</v>
      </c>
      <c r="D416">
        <v>660000</v>
      </c>
      <c r="E416">
        <v>1900</v>
      </c>
      <c r="F416">
        <v>1520</v>
      </c>
      <c r="G416">
        <v>434</v>
      </c>
      <c r="H416">
        <v>35</v>
      </c>
      <c r="I416" s="4">
        <f t="shared" si="30"/>
        <v>66934</v>
      </c>
      <c r="J416" s="6">
        <f t="shared" si="31"/>
        <v>1860503.3489454859</v>
      </c>
      <c r="K416" s="8">
        <f t="shared" si="32"/>
        <v>-1485</v>
      </c>
      <c r="L416" s="10">
        <f t="shared" si="33"/>
        <v>123723472704.87482</v>
      </c>
      <c r="M416" s="4">
        <f t="shared" si="34"/>
        <v>-72322537.201637313</v>
      </c>
    </row>
    <row r="417" spans="1:13" x14ac:dyDescent="0.2">
      <c r="A417" s="1">
        <v>1</v>
      </c>
      <c r="B417">
        <v>2</v>
      </c>
      <c r="C417">
        <v>1</v>
      </c>
      <c r="D417">
        <v>995000</v>
      </c>
      <c r="E417">
        <v>1908</v>
      </c>
      <c r="F417">
        <v>600</v>
      </c>
      <c r="G417">
        <v>1658</v>
      </c>
      <c r="H417">
        <v>36</v>
      </c>
      <c r="I417" s="4">
        <f t="shared" si="30"/>
        <v>70346</v>
      </c>
      <c r="J417" s="6">
        <f t="shared" si="31"/>
        <v>4593180.7965916852</v>
      </c>
      <c r="K417" s="8">
        <f t="shared" si="32"/>
        <v>-564</v>
      </c>
      <c r="L417" s="10">
        <f t="shared" si="33"/>
        <v>315496402556.28967</v>
      </c>
      <c r="M417" s="4">
        <f t="shared" si="34"/>
        <v>-105596070.97723342</v>
      </c>
    </row>
    <row r="418" spans="1:13" x14ac:dyDescent="0.2">
      <c r="A418" s="1">
        <v>1</v>
      </c>
      <c r="B418">
        <v>2</v>
      </c>
      <c r="C418">
        <v>1</v>
      </c>
      <c r="D418">
        <v>759900</v>
      </c>
      <c r="E418">
        <v>1941</v>
      </c>
      <c r="F418">
        <v>1175</v>
      </c>
      <c r="G418">
        <v>647</v>
      </c>
      <c r="H418">
        <v>43</v>
      </c>
      <c r="I418" s="4">
        <f t="shared" si="30"/>
        <v>84110</v>
      </c>
      <c r="J418" s="6">
        <f t="shared" si="31"/>
        <v>2996005.1655458938</v>
      </c>
      <c r="K418" s="8">
        <f t="shared" si="32"/>
        <v>-1132</v>
      </c>
      <c r="L418" s="10">
        <f t="shared" si="33"/>
        <v>250055579131.95694</v>
      </c>
      <c r="M418" s="4">
        <f t="shared" si="34"/>
        <v>-128289343.61466366</v>
      </c>
    </row>
    <row r="419" spans="1:13" x14ac:dyDescent="0.2">
      <c r="A419" s="1">
        <v>1</v>
      </c>
      <c r="B419">
        <v>6</v>
      </c>
      <c r="C419">
        <v>3.5</v>
      </c>
      <c r="D419">
        <v>995000</v>
      </c>
      <c r="E419">
        <v>2001</v>
      </c>
      <c r="F419">
        <v>3080</v>
      </c>
      <c r="G419">
        <v>323</v>
      </c>
      <c r="H419">
        <v>55</v>
      </c>
      <c r="I419" s="4">
        <f t="shared" si="30"/>
        <v>110378</v>
      </c>
      <c r="J419" s="6">
        <f t="shared" si="31"/>
        <v>3097358.3800710072</v>
      </c>
      <c r="K419" s="8">
        <f t="shared" si="32"/>
        <v>-3025</v>
      </c>
      <c r="L419" s="10">
        <f t="shared" si="33"/>
        <v>340879776518.71466</v>
      </c>
      <c r="M419" s="4">
        <f t="shared" si="34"/>
        <v>-611928751.68712878</v>
      </c>
    </row>
    <row r="420" spans="1:13" x14ac:dyDescent="0.2">
      <c r="A420" s="1">
        <v>1</v>
      </c>
      <c r="B420">
        <v>2</v>
      </c>
      <c r="C420">
        <v>1</v>
      </c>
      <c r="D420">
        <v>725000</v>
      </c>
      <c r="E420">
        <v>1945</v>
      </c>
      <c r="F420">
        <v>1040</v>
      </c>
      <c r="G420">
        <v>697</v>
      </c>
      <c r="H420">
        <v>60</v>
      </c>
      <c r="I420" s="4">
        <f t="shared" si="30"/>
        <v>117397</v>
      </c>
      <c r="J420" s="6">
        <f t="shared" si="31"/>
        <v>4236932.9022269137</v>
      </c>
      <c r="K420" s="8">
        <f t="shared" si="32"/>
        <v>-980</v>
      </c>
      <c r="L420" s="10">
        <f t="shared" si="33"/>
        <v>494450069689.88086</v>
      </c>
      <c r="M420" s="4">
        <f t="shared" si="34"/>
        <v>-209525886.90106177</v>
      </c>
    </row>
    <row r="421" spans="1:13" x14ac:dyDescent="0.2">
      <c r="A421" s="1">
        <v>1</v>
      </c>
      <c r="B421">
        <v>4</v>
      </c>
      <c r="C421">
        <v>3</v>
      </c>
      <c r="D421">
        <v>3420000</v>
      </c>
      <c r="E421">
        <v>1926</v>
      </c>
      <c r="F421">
        <v>5113</v>
      </c>
      <c r="G421">
        <v>669</v>
      </c>
      <c r="H421">
        <v>98</v>
      </c>
      <c r="I421" s="4">
        <f t="shared" si="30"/>
        <v>189417</v>
      </c>
      <c r="J421" s="6">
        <f t="shared" si="31"/>
        <v>14727905.133213399</v>
      </c>
      <c r="K421" s="8">
        <f t="shared" si="32"/>
        <v>-5015</v>
      </c>
      <c r="L421" s="10">
        <f t="shared" si="33"/>
        <v>2779862638083.7627</v>
      </c>
      <c r="M421" s="4">
        <f t="shared" si="34"/>
        <v>-28436198876.828136</v>
      </c>
    </row>
    <row r="422" spans="1:13" x14ac:dyDescent="0.2">
      <c r="A422" s="1">
        <v>1</v>
      </c>
      <c r="B422">
        <v>3</v>
      </c>
      <c r="C422">
        <v>2</v>
      </c>
      <c r="D422">
        <v>1650000</v>
      </c>
      <c r="E422">
        <v>1922</v>
      </c>
      <c r="F422">
        <v>2025</v>
      </c>
      <c r="G422">
        <v>815</v>
      </c>
      <c r="H422">
        <v>106</v>
      </c>
      <c r="I422" s="4">
        <f t="shared" si="30"/>
        <v>204547</v>
      </c>
      <c r="J422" s="6">
        <f t="shared" si="31"/>
        <v>12213127.080000002</v>
      </c>
      <c r="K422" s="8">
        <f t="shared" si="32"/>
        <v>-1919</v>
      </c>
      <c r="L422" s="10">
        <f t="shared" si="33"/>
        <v>2488204806262.5601</v>
      </c>
      <c r="M422" s="4">
        <f t="shared" si="34"/>
        <v>-4698900042.1008635</v>
      </c>
    </row>
    <row r="423" spans="1:13" x14ac:dyDescent="0.2">
      <c r="A423" s="1">
        <v>1</v>
      </c>
      <c r="B423">
        <v>3</v>
      </c>
      <c r="C423">
        <v>3.5</v>
      </c>
      <c r="D423">
        <v>2250000</v>
      </c>
      <c r="E423">
        <v>1928</v>
      </c>
      <c r="F423">
        <v>3258</v>
      </c>
      <c r="G423">
        <v>691</v>
      </c>
      <c r="H423">
        <v>127</v>
      </c>
      <c r="I423" s="4">
        <f t="shared" si="30"/>
        <v>245547</v>
      </c>
      <c r="J423" s="6">
        <f t="shared" si="31"/>
        <v>15736501.829637833</v>
      </c>
      <c r="K423" s="8">
        <f t="shared" si="32"/>
        <v>-3131</v>
      </c>
      <c r="L423" s="10">
        <f t="shared" si="33"/>
        <v>3853176891997.8013</v>
      </c>
      <c r="M423" s="4">
        <f t="shared" si="34"/>
        <v>-16189584235.357693</v>
      </c>
    </row>
    <row r="424" spans="1:13" x14ac:dyDescent="0.2">
      <c r="A424" s="1">
        <v>1</v>
      </c>
      <c r="B424">
        <v>3</v>
      </c>
      <c r="C424">
        <v>1</v>
      </c>
      <c r="D424">
        <v>1319000</v>
      </c>
      <c r="E424">
        <v>1925</v>
      </c>
      <c r="F424">
        <v>1752</v>
      </c>
      <c r="G424">
        <v>753</v>
      </c>
      <c r="H424">
        <v>141</v>
      </c>
      <c r="I424" s="4">
        <f t="shared" si="30"/>
        <v>272178</v>
      </c>
      <c r="J424" s="6">
        <f t="shared" si="31"/>
        <v>13961498.30821508</v>
      </c>
      <c r="K424" s="8">
        <f t="shared" si="32"/>
        <v>-1611</v>
      </c>
      <c r="L424" s="10">
        <f t="shared" si="33"/>
        <v>3789499678307.2783</v>
      </c>
      <c r="M424" s="4">
        <f t="shared" si="34"/>
        <v>-4802566348.5442972</v>
      </c>
    </row>
    <row r="425" spans="1:13" x14ac:dyDescent="0.2">
      <c r="A425" s="1">
        <v>1</v>
      </c>
      <c r="B425">
        <v>5</v>
      </c>
      <c r="C425">
        <v>3.5</v>
      </c>
      <c r="D425">
        <v>1698000</v>
      </c>
      <c r="E425">
        <v>1966</v>
      </c>
      <c r="F425">
        <v>2769</v>
      </c>
      <c r="G425">
        <v>613</v>
      </c>
      <c r="H425">
        <v>176</v>
      </c>
      <c r="I425" s="4">
        <f t="shared" si="30"/>
        <v>346629</v>
      </c>
      <c r="J425" s="6">
        <f t="shared" si="31"/>
        <v>17835509.019347537</v>
      </c>
      <c r="K425" s="8">
        <f t="shared" si="32"/>
        <v>-2593</v>
      </c>
      <c r="L425" s="10">
        <f t="shared" si="33"/>
        <v>6171371488838.5586</v>
      </c>
      <c r="M425" s="4">
        <f t="shared" si="34"/>
        <v>-16205896293.90752</v>
      </c>
    </row>
    <row r="426" spans="1:13" x14ac:dyDescent="0.2">
      <c r="A426" s="1">
        <v>1</v>
      </c>
      <c r="B426">
        <v>3</v>
      </c>
      <c r="C426">
        <v>2</v>
      </c>
      <c r="D426">
        <v>1049000</v>
      </c>
      <c r="E426">
        <v>1947</v>
      </c>
      <c r="F426">
        <v>1626</v>
      </c>
      <c r="G426">
        <v>645</v>
      </c>
      <c r="H426">
        <v>179</v>
      </c>
      <c r="I426" s="4">
        <f t="shared" si="30"/>
        <v>349158</v>
      </c>
      <c r="J426" s="6">
        <f t="shared" si="31"/>
        <v>14625943.940975474</v>
      </c>
      <c r="K426" s="8">
        <f t="shared" si="32"/>
        <v>-1447</v>
      </c>
      <c r="L426" s="10">
        <f t="shared" si="33"/>
        <v>5097331600701.1855</v>
      </c>
      <c r="M426" s="4">
        <f t="shared" si="34"/>
        <v>-4614642582.2700567</v>
      </c>
    </row>
    <row r="427" spans="1:13" x14ac:dyDescent="0.2">
      <c r="A427" s="1">
        <v>1</v>
      </c>
      <c r="B427">
        <v>2</v>
      </c>
      <c r="C427">
        <v>2</v>
      </c>
      <c r="D427">
        <v>599000</v>
      </c>
      <c r="E427">
        <v>1990</v>
      </c>
      <c r="F427">
        <v>862</v>
      </c>
      <c r="G427">
        <v>695</v>
      </c>
      <c r="H427">
        <v>181</v>
      </c>
      <c r="I427" s="4">
        <f t="shared" si="30"/>
        <v>360885</v>
      </c>
      <c r="J427" s="6">
        <f t="shared" si="31"/>
        <v>11602936.103782836</v>
      </c>
      <c r="K427" s="8">
        <f t="shared" si="32"/>
        <v>-681</v>
      </c>
      <c r="L427" s="10">
        <f t="shared" si="33"/>
        <v>4179261555221.5396</v>
      </c>
      <c r="M427" s="4">
        <f t="shared" si="34"/>
        <v>-1016774507.7008464</v>
      </c>
    </row>
    <row r="428" spans="1:13" x14ac:dyDescent="0.2">
      <c r="A428" s="1">
        <v>1</v>
      </c>
      <c r="B428">
        <v>5</v>
      </c>
      <c r="C428">
        <v>3.5</v>
      </c>
      <c r="D428">
        <v>2995000</v>
      </c>
      <c r="E428">
        <v>1947</v>
      </c>
      <c r="F428">
        <v>3890</v>
      </c>
      <c r="G428">
        <v>770</v>
      </c>
      <c r="H428">
        <v>181</v>
      </c>
      <c r="I428" s="4">
        <f t="shared" si="30"/>
        <v>353177</v>
      </c>
      <c r="J428" s="6">
        <f t="shared" si="31"/>
        <v>27308320.356974091</v>
      </c>
      <c r="K428" s="8">
        <f t="shared" si="32"/>
        <v>-3709</v>
      </c>
      <c r="L428" s="10">
        <f t="shared" si="33"/>
        <v>9623643252040.168</v>
      </c>
      <c r="M428" s="4">
        <f t="shared" si="34"/>
        <v>-63759417151.93779</v>
      </c>
    </row>
    <row r="429" spans="1:13" x14ac:dyDescent="0.2">
      <c r="A429" s="1">
        <v>1</v>
      </c>
      <c r="B429">
        <v>3</v>
      </c>
      <c r="C429">
        <v>2</v>
      </c>
      <c r="D429">
        <v>995000</v>
      </c>
      <c r="E429">
        <v>1956</v>
      </c>
      <c r="F429">
        <v>1305</v>
      </c>
      <c r="G429">
        <v>762</v>
      </c>
      <c r="H429">
        <v>216</v>
      </c>
      <c r="I429" s="4">
        <f t="shared" si="30"/>
        <v>423258</v>
      </c>
      <c r="J429" s="6">
        <f t="shared" si="31"/>
        <v>18679483.631524097</v>
      </c>
      <c r="K429" s="8">
        <f t="shared" si="32"/>
        <v>-1089</v>
      </c>
      <c r="L429" s="10">
        <f t="shared" si="33"/>
        <v>7892007116384.4043</v>
      </c>
      <c r="M429" s="4">
        <f t="shared" si="34"/>
        <v>-5100228005.4509697</v>
      </c>
    </row>
    <row r="430" spans="1:13" x14ac:dyDescent="0.2">
      <c r="A430" s="1">
        <v>1</v>
      </c>
      <c r="B430">
        <v>1</v>
      </c>
      <c r="C430">
        <v>1</v>
      </c>
      <c r="D430">
        <v>350000</v>
      </c>
      <c r="E430">
        <v>1908</v>
      </c>
      <c r="F430">
        <v>600</v>
      </c>
      <c r="G430">
        <v>583</v>
      </c>
      <c r="H430">
        <v>43</v>
      </c>
      <c r="I430" s="4">
        <f t="shared" si="30"/>
        <v>82627</v>
      </c>
      <c r="J430" s="6">
        <f t="shared" si="31"/>
        <v>1929139.0126952981</v>
      </c>
      <c r="K430" s="8">
        <f t="shared" si="32"/>
        <v>-557</v>
      </c>
      <c r="L430" s="10">
        <f t="shared" si="33"/>
        <v>158274281157.57303</v>
      </c>
      <c r="M430" s="4">
        <f t="shared" si="34"/>
        <v>-18402835.846085873</v>
      </c>
    </row>
    <row r="431" spans="1:13" x14ac:dyDescent="0.2">
      <c r="A431" s="1">
        <v>1</v>
      </c>
      <c r="B431">
        <v>2</v>
      </c>
      <c r="C431">
        <v>1</v>
      </c>
      <c r="D431">
        <v>550000</v>
      </c>
      <c r="E431">
        <v>1908</v>
      </c>
      <c r="F431">
        <v>800</v>
      </c>
      <c r="G431">
        <v>688</v>
      </c>
      <c r="H431">
        <v>43</v>
      </c>
      <c r="I431" s="4">
        <f t="shared" si="30"/>
        <v>82732</v>
      </c>
      <c r="J431" s="6">
        <f t="shared" si="31"/>
        <v>2628771.1240455625</v>
      </c>
      <c r="K431" s="8">
        <f t="shared" si="32"/>
        <v>-757</v>
      </c>
      <c r="L431" s="10">
        <f t="shared" si="33"/>
        <v>215674898101.19412</v>
      </c>
      <c r="M431" s="4">
        <f t="shared" si="34"/>
        <v>-53556148.05234275</v>
      </c>
    </row>
    <row r="432" spans="1:13" x14ac:dyDescent="0.2">
      <c r="A432" s="1">
        <v>1</v>
      </c>
      <c r="B432">
        <v>4</v>
      </c>
      <c r="C432">
        <v>4</v>
      </c>
      <c r="D432">
        <v>3760000</v>
      </c>
      <c r="E432">
        <v>1900</v>
      </c>
      <c r="F432">
        <v>3085</v>
      </c>
      <c r="G432">
        <v>1219</v>
      </c>
      <c r="H432">
        <v>49</v>
      </c>
      <c r="I432" s="4">
        <f t="shared" si="30"/>
        <v>94319</v>
      </c>
      <c r="J432" s="6">
        <f t="shared" si="31"/>
        <v>10422652.495904641</v>
      </c>
      <c r="K432" s="8">
        <f t="shared" si="32"/>
        <v>-3036</v>
      </c>
      <c r="L432" s="10">
        <f t="shared" si="33"/>
        <v>970348947368.72217</v>
      </c>
      <c r="M432" s="4">
        <f t="shared" si="34"/>
        <v>-6606458545.1126337</v>
      </c>
    </row>
    <row r="433" spans="1:13" x14ac:dyDescent="0.2">
      <c r="A433" s="1">
        <v>1</v>
      </c>
      <c r="B433">
        <v>3</v>
      </c>
      <c r="C433">
        <v>2</v>
      </c>
      <c r="D433">
        <v>1050000</v>
      </c>
      <c r="E433">
        <v>1922</v>
      </c>
      <c r="F433">
        <v>1266</v>
      </c>
      <c r="G433">
        <v>829</v>
      </c>
      <c r="H433">
        <v>52</v>
      </c>
      <c r="I433" s="4">
        <f t="shared" si="30"/>
        <v>100773</v>
      </c>
      <c r="J433" s="6">
        <f t="shared" si="31"/>
        <v>4818652.5805890886</v>
      </c>
      <c r="K433" s="8">
        <f t="shared" si="32"/>
        <v>-1214</v>
      </c>
      <c r="L433" s="10">
        <f t="shared" si="33"/>
        <v>481595413514.39594</v>
      </c>
      <c r="M433" s="4">
        <f t="shared" si="34"/>
        <v>-366135206.18715119</v>
      </c>
    </row>
    <row r="434" spans="1:13" x14ac:dyDescent="0.2">
      <c r="A434" s="1">
        <v>1</v>
      </c>
      <c r="B434">
        <v>2</v>
      </c>
      <c r="C434">
        <v>2</v>
      </c>
      <c r="D434">
        <v>1895000</v>
      </c>
      <c r="E434">
        <v>1907</v>
      </c>
      <c r="F434">
        <v>1756</v>
      </c>
      <c r="G434">
        <v>1079</v>
      </c>
      <c r="H434">
        <v>54</v>
      </c>
      <c r="I434" s="4">
        <f t="shared" si="30"/>
        <v>104057</v>
      </c>
      <c r="J434" s="6">
        <f t="shared" si="31"/>
        <v>7670582.5575344181</v>
      </c>
      <c r="K434" s="8">
        <f t="shared" si="32"/>
        <v>-1702</v>
      </c>
      <c r="L434" s="10">
        <f t="shared" si="33"/>
        <v>789901250609.7793</v>
      </c>
      <c r="M434" s="4">
        <f t="shared" si="34"/>
        <v>-1519472115.033407</v>
      </c>
    </row>
    <row r="435" spans="1:13" x14ac:dyDescent="0.2">
      <c r="A435" s="1">
        <v>1</v>
      </c>
      <c r="B435">
        <v>1</v>
      </c>
      <c r="C435">
        <v>1</v>
      </c>
      <c r="D435">
        <v>599000</v>
      </c>
      <c r="E435">
        <v>1961</v>
      </c>
      <c r="F435">
        <v>680</v>
      </c>
      <c r="G435">
        <v>881</v>
      </c>
      <c r="H435">
        <v>56</v>
      </c>
      <c r="I435" s="4">
        <f t="shared" si="30"/>
        <v>110697</v>
      </c>
      <c r="J435" s="6">
        <f t="shared" si="31"/>
        <v>4041748.4462473826</v>
      </c>
      <c r="K435" s="8">
        <f t="shared" si="32"/>
        <v>-624</v>
      </c>
      <c r="L435" s="10">
        <f t="shared" si="33"/>
        <v>443848647373.10254</v>
      </c>
      <c r="M435" s="4">
        <f t="shared" si="34"/>
        <v>-98945825.40426372</v>
      </c>
    </row>
    <row r="436" spans="1:13" x14ac:dyDescent="0.2">
      <c r="A436" s="1">
        <v>1</v>
      </c>
      <c r="B436">
        <v>4</v>
      </c>
      <c r="C436">
        <v>3</v>
      </c>
      <c r="D436">
        <v>1895000</v>
      </c>
      <c r="E436">
        <v>2001</v>
      </c>
      <c r="F436">
        <v>2041</v>
      </c>
      <c r="G436">
        <v>928</v>
      </c>
      <c r="H436">
        <v>61</v>
      </c>
      <c r="I436" s="4">
        <f t="shared" si="30"/>
        <v>122989</v>
      </c>
      <c r="J436" s="6">
        <f t="shared" si="31"/>
        <v>8034339.9156458322</v>
      </c>
      <c r="K436" s="8">
        <f t="shared" si="32"/>
        <v>-1980</v>
      </c>
      <c r="L436" s="10">
        <f t="shared" si="33"/>
        <v>980679564443.64587</v>
      </c>
      <c r="M436" s="4">
        <f t="shared" si="34"/>
        <v>-2194586447.9796581</v>
      </c>
    </row>
    <row r="437" spans="1:13" x14ac:dyDescent="0.2">
      <c r="A437" s="1">
        <v>1</v>
      </c>
      <c r="B437">
        <v>3</v>
      </c>
      <c r="C437">
        <v>2</v>
      </c>
      <c r="D437">
        <v>1799000</v>
      </c>
      <c r="E437">
        <v>1926</v>
      </c>
      <c r="F437">
        <v>1800</v>
      </c>
      <c r="G437">
        <v>999</v>
      </c>
      <c r="H437">
        <v>66</v>
      </c>
      <c r="I437" s="4">
        <f t="shared" si="30"/>
        <v>128115</v>
      </c>
      <c r="J437" s="6">
        <f t="shared" si="31"/>
        <v>8788131.8597630542</v>
      </c>
      <c r="K437" s="8">
        <f t="shared" si="32"/>
        <v>-1734</v>
      </c>
      <c r="L437" s="10">
        <f t="shared" si="33"/>
        <v>1117112169485.6404</v>
      </c>
      <c r="M437" s="4">
        <f t="shared" si="34"/>
        <v>-2078395542.7114983</v>
      </c>
    </row>
    <row r="438" spans="1:13" x14ac:dyDescent="0.2">
      <c r="A438" s="1">
        <v>1</v>
      </c>
      <c r="B438">
        <v>2</v>
      </c>
      <c r="C438">
        <v>1</v>
      </c>
      <c r="D438">
        <v>600000</v>
      </c>
      <c r="E438">
        <v>1908</v>
      </c>
      <c r="F438">
        <v>1350</v>
      </c>
      <c r="G438">
        <v>444</v>
      </c>
      <c r="H438">
        <v>92</v>
      </c>
      <c r="I438" s="4">
        <f t="shared" si="30"/>
        <v>175980</v>
      </c>
      <c r="J438" s="6">
        <f t="shared" si="31"/>
        <v>4715074.6174903791</v>
      </c>
      <c r="K438" s="8">
        <f t="shared" si="32"/>
        <v>-1258</v>
      </c>
      <c r="L438" s="10">
        <f t="shared" si="33"/>
        <v>827665338055.79126</v>
      </c>
      <c r="M438" s="4">
        <f t="shared" si="34"/>
        <v>-372595685.91626197</v>
      </c>
    </row>
    <row r="439" spans="1:13" x14ac:dyDescent="0.2">
      <c r="A439" s="1">
        <v>1</v>
      </c>
      <c r="B439">
        <v>2</v>
      </c>
      <c r="C439">
        <v>1</v>
      </c>
      <c r="D439">
        <v>1495000</v>
      </c>
      <c r="E439">
        <v>1908</v>
      </c>
      <c r="F439">
        <v>1700</v>
      </c>
      <c r="G439">
        <v>879</v>
      </c>
      <c r="H439">
        <v>98</v>
      </c>
      <c r="I439" s="4">
        <f t="shared" si="30"/>
        <v>187863</v>
      </c>
      <c r="J439" s="6">
        <f t="shared" si="31"/>
        <v>11158101.295818267</v>
      </c>
      <c r="K439" s="8">
        <f t="shared" si="32"/>
        <v>-1602</v>
      </c>
      <c r="L439" s="10">
        <f t="shared" si="33"/>
        <v>2086386412697.2827</v>
      </c>
      <c r="M439" s="4">
        <f t="shared" si="34"/>
        <v>-2980228840.1697607</v>
      </c>
    </row>
    <row r="440" spans="1:13" x14ac:dyDescent="0.2">
      <c r="A440" s="1">
        <v>1</v>
      </c>
      <c r="B440">
        <v>3</v>
      </c>
      <c r="C440">
        <v>2</v>
      </c>
      <c r="D440">
        <v>1595000</v>
      </c>
      <c r="E440">
        <v>1961</v>
      </c>
      <c r="F440">
        <v>1515</v>
      </c>
      <c r="G440">
        <v>1053</v>
      </c>
      <c r="H440">
        <v>103</v>
      </c>
      <c r="I440" s="4">
        <f t="shared" si="30"/>
        <v>203036</v>
      </c>
      <c r="J440" s="6">
        <f t="shared" si="31"/>
        <v>13262420.713200798</v>
      </c>
      <c r="K440" s="8">
        <f t="shared" si="32"/>
        <v>-1412</v>
      </c>
      <c r="L440" s="10">
        <f t="shared" si="33"/>
        <v>2678783522914.437</v>
      </c>
      <c r="M440" s="4">
        <f t="shared" si="34"/>
        <v>-3598190611.1408844</v>
      </c>
    </row>
    <row r="441" spans="1:13" x14ac:dyDescent="0.2">
      <c r="A441" s="1">
        <v>1</v>
      </c>
      <c r="B441">
        <v>3</v>
      </c>
      <c r="C441">
        <v>2</v>
      </c>
      <c r="D441">
        <v>849000</v>
      </c>
      <c r="E441">
        <v>1947</v>
      </c>
      <c r="F441">
        <v>1622</v>
      </c>
      <c r="G441">
        <v>523</v>
      </c>
      <c r="H441">
        <v>106</v>
      </c>
      <c r="I441" s="4">
        <f t="shared" si="30"/>
        <v>206905</v>
      </c>
      <c r="J441" s="6">
        <f t="shared" si="31"/>
        <v>7014292.4205555776</v>
      </c>
      <c r="K441" s="8">
        <f t="shared" si="32"/>
        <v>-1516</v>
      </c>
      <c r="L441" s="10">
        <f t="shared" si="33"/>
        <v>1447623698339.1011</v>
      </c>
      <c r="M441" s="4">
        <f t="shared" si="34"/>
        <v>-1111255027.0052867</v>
      </c>
    </row>
    <row r="442" spans="1:13" x14ac:dyDescent="0.2">
      <c r="A442" s="1">
        <v>1</v>
      </c>
      <c r="B442">
        <v>4</v>
      </c>
      <c r="C442">
        <v>3.5</v>
      </c>
      <c r="D442">
        <v>1995000</v>
      </c>
      <c r="E442">
        <v>1992</v>
      </c>
      <c r="F442">
        <v>3312</v>
      </c>
      <c r="G442">
        <v>602</v>
      </c>
      <c r="H442">
        <v>108</v>
      </c>
      <c r="I442" s="4">
        <f t="shared" si="30"/>
        <v>215738</v>
      </c>
      <c r="J442" s="6">
        <f t="shared" si="31"/>
        <v>11754828.548826825</v>
      </c>
      <c r="K442" s="8">
        <f t="shared" si="32"/>
        <v>-3204</v>
      </c>
      <c r="L442" s="10">
        <f t="shared" si="33"/>
        <v>2528886794680.4077</v>
      </c>
      <c r="M442" s="4">
        <f t="shared" si="34"/>
        <v>-9640864056.5608025</v>
      </c>
    </row>
    <row r="443" spans="1:13" x14ac:dyDescent="0.2">
      <c r="A443" s="1">
        <v>1</v>
      </c>
      <c r="B443">
        <v>3</v>
      </c>
      <c r="C443">
        <v>2</v>
      </c>
      <c r="D443">
        <v>1495000</v>
      </c>
      <c r="E443">
        <v>1937</v>
      </c>
      <c r="F443">
        <v>1635</v>
      </c>
      <c r="G443">
        <v>914</v>
      </c>
      <c r="H443">
        <v>112</v>
      </c>
      <c r="I443" s="4">
        <f t="shared" si="30"/>
        <v>217858</v>
      </c>
      <c r="J443" s="6">
        <f t="shared" si="31"/>
        <v>13003910.900676871</v>
      </c>
      <c r="K443" s="8">
        <f t="shared" si="32"/>
        <v>-1523</v>
      </c>
      <c r="L443" s="10">
        <f t="shared" si="33"/>
        <v>2821120446436.4434</v>
      </c>
      <c r="M443" s="4">
        <f t="shared" si="34"/>
        <v>-3831015309.3995576</v>
      </c>
    </row>
    <row r="444" spans="1:13" x14ac:dyDescent="0.2">
      <c r="A444" s="1">
        <v>1</v>
      </c>
      <c r="B444">
        <v>3</v>
      </c>
      <c r="C444">
        <v>3.5</v>
      </c>
      <c r="D444">
        <v>2195000</v>
      </c>
      <c r="E444">
        <v>1922</v>
      </c>
      <c r="F444">
        <v>2168</v>
      </c>
      <c r="G444">
        <v>1012</v>
      </c>
      <c r="H444">
        <v>125</v>
      </c>
      <c r="I444" s="4">
        <f t="shared" si="30"/>
        <v>241262</v>
      </c>
      <c r="J444" s="6">
        <f t="shared" si="31"/>
        <v>18504231.483115196</v>
      </c>
      <c r="K444" s="8">
        <f t="shared" si="32"/>
        <v>-2043</v>
      </c>
      <c r="L444" s="10">
        <f t="shared" si="33"/>
        <v>4445641613818.4258</v>
      </c>
      <c r="M444" s="4">
        <f t="shared" si="34"/>
        <v>-11890182024.792847</v>
      </c>
    </row>
    <row r="445" spans="1:13" x14ac:dyDescent="0.2">
      <c r="A445" s="1">
        <v>1</v>
      </c>
      <c r="B445">
        <v>4</v>
      </c>
      <c r="C445">
        <v>2</v>
      </c>
      <c r="D445">
        <v>1798000</v>
      </c>
      <c r="E445">
        <v>1951</v>
      </c>
      <c r="F445">
        <v>2050</v>
      </c>
      <c r="G445">
        <v>877</v>
      </c>
      <c r="H445">
        <v>131</v>
      </c>
      <c r="I445" s="4">
        <f t="shared" si="30"/>
        <v>256458</v>
      </c>
      <c r="J445" s="6">
        <f t="shared" si="31"/>
        <v>16341755.476392459</v>
      </c>
      <c r="K445" s="8">
        <f t="shared" si="32"/>
        <v>-1919</v>
      </c>
      <c r="L445" s="10">
        <f t="shared" si="33"/>
        <v>4176642206411.8613</v>
      </c>
      <c r="M445" s="4">
        <f t="shared" si="34"/>
        <v>-8594944921.1019592</v>
      </c>
    </row>
    <row r="446" spans="1:13" x14ac:dyDescent="0.2">
      <c r="A446" s="1">
        <v>1</v>
      </c>
      <c r="B446">
        <v>2</v>
      </c>
      <c r="C446">
        <v>2</v>
      </c>
      <c r="D446">
        <v>849000</v>
      </c>
      <c r="E446">
        <v>1978</v>
      </c>
      <c r="F446">
        <v>1555</v>
      </c>
      <c r="G446">
        <v>546</v>
      </c>
      <c r="H446">
        <v>139</v>
      </c>
      <c r="I446" s="4">
        <f t="shared" si="30"/>
        <v>275488</v>
      </c>
      <c r="J446" s="6">
        <f t="shared" si="31"/>
        <v>9402071.0314166229</v>
      </c>
      <c r="K446" s="8">
        <f t="shared" si="32"/>
        <v>-1416</v>
      </c>
      <c r="L446" s="10">
        <f t="shared" si="33"/>
        <v>2585024213519.749</v>
      </c>
      <c r="M446" s="4">
        <f t="shared" si="34"/>
        <v>-1853474954.777173</v>
      </c>
    </row>
    <row r="447" spans="1:13" x14ac:dyDescent="0.2">
      <c r="A447" s="1">
        <v>1</v>
      </c>
      <c r="B447">
        <v>3</v>
      </c>
      <c r="C447">
        <v>2</v>
      </c>
      <c r="D447">
        <v>1159000</v>
      </c>
      <c r="E447">
        <v>1977</v>
      </c>
      <c r="F447">
        <v>1731</v>
      </c>
      <c r="G447">
        <v>670</v>
      </c>
      <c r="H447">
        <v>143</v>
      </c>
      <c r="I447" s="4">
        <f t="shared" si="30"/>
        <v>283381</v>
      </c>
      <c r="J447" s="6">
        <f t="shared" si="31"/>
        <v>12523054.261882294</v>
      </c>
      <c r="K447" s="8">
        <f t="shared" si="32"/>
        <v>-1588</v>
      </c>
      <c r="L447" s="10">
        <f t="shared" si="33"/>
        <v>3540405193431.0054</v>
      </c>
      <c r="M447" s="4">
        <f t="shared" si="34"/>
        <v>-3886315602.3268304</v>
      </c>
    </row>
    <row r="448" spans="1:13" x14ac:dyDescent="0.2">
      <c r="A448" s="1">
        <v>1</v>
      </c>
      <c r="B448">
        <v>3</v>
      </c>
      <c r="C448">
        <v>2.5</v>
      </c>
      <c r="D448">
        <v>995000</v>
      </c>
      <c r="E448">
        <v>1976</v>
      </c>
      <c r="F448">
        <v>1959</v>
      </c>
      <c r="G448">
        <v>508</v>
      </c>
      <c r="H448">
        <v>163</v>
      </c>
      <c r="I448" s="4">
        <f t="shared" si="30"/>
        <v>322596</v>
      </c>
      <c r="J448" s="6">
        <f t="shared" si="31"/>
        <v>11513819.662480962</v>
      </c>
      <c r="K448" s="8">
        <f t="shared" si="32"/>
        <v>-1796</v>
      </c>
      <c r="L448" s="10">
        <f t="shared" si="33"/>
        <v>3708463147449.1685</v>
      </c>
      <c r="M448" s="4">
        <f t="shared" si="34"/>
        <v>-3952524254.407959</v>
      </c>
    </row>
    <row r="449" spans="1:13" x14ac:dyDescent="0.2">
      <c r="A449" s="1">
        <v>1</v>
      </c>
      <c r="B449">
        <v>4</v>
      </c>
      <c r="C449">
        <v>3</v>
      </c>
      <c r="D449">
        <v>1388000</v>
      </c>
      <c r="E449">
        <v>1968</v>
      </c>
      <c r="F449">
        <v>2275</v>
      </c>
      <c r="G449">
        <v>610</v>
      </c>
      <c r="H449">
        <v>163</v>
      </c>
      <c r="I449" s="4">
        <f t="shared" si="30"/>
        <v>321394</v>
      </c>
      <c r="J449" s="6">
        <f t="shared" si="31"/>
        <v>14899065.457094995</v>
      </c>
      <c r="K449" s="8">
        <f t="shared" si="32"/>
        <v>-2112</v>
      </c>
      <c r="L449" s="10">
        <f t="shared" si="33"/>
        <v>4779381813588.7607</v>
      </c>
      <c r="M449" s="4">
        <f t="shared" si="34"/>
        <v>-8356150813.3453512</v>
      </c>
    </row>
    <row r="450" spans="1:13" x14ac:dyDescent="0.2">
      <c r="A450" s="1">
        <v>1</v>
      </c>
      <c r="B450">
        <v>5</v>
      </c>
      <c r="C450">
        <v>3.5</v>
      </c>
      <c r="D450">
        <v>2250000</v>
      </c>
      <c r="E450">
        <v>1962</v>
      </c>
      <c r="F450">
        <v>3729</v>
      </c>
      <c r="G450">
        <v>603</v>
      </c>
      <c r="H450">
        <v>174</v>
      </c>
      <c r="I450" s="4">
        <f t="shared" si="30"/>
        <v>341991</v>
      </c>
      <c r="J450" s="6">
        <f t="shared" si="31"/>
        <v>20128603.282044664</v>
      </c>
      <c r="K450" s="8">
        <f t="shared" si="32"/>
        <v>-3555</v>
      </c>
      <c r="L450" s="10">
        <f t="shared" si="33"/>
        <v>6871663617250.6631</v>
      </c>
      <c r="M450" s="4">
        <f t="shared" si="34"/>
        <v>-32781979760.466217</v>
      </c>
    </row>
    <row r="451" spans="1:13" x14ac:dyDescent="0.2">
      <c r="A451" s="1">
        <v>1</v>
      </c>
      <c r="B451">
        <v>3</v>
      </c>
      <c r="C451">
        <v>2</v>
      </c>
      <c r="D451">
        <v>1080000</v>
      </c>
      <c r="E451">
        <v>1989</v>
      </c>
      <c r="F451">
        <v>1524</v>
      </c>
      <c r="G451">
        <v>709</v>
      </c>
      <c r="H451">
        <v>185</v>
      </c>
      <c r="I451" s="4">
        <f t="shared" ref="I451:I493" si="35">+(H451*E451)+G451</f>
        <v>368674</v>
      </c>
      <c r="J451" s="6">
        <f t="shared" ref="J451:J493" si="36">+(3.1416*G451*H451)*SQRT(F451)</f>
        <v>16086491.556569461</v>
      </c>
      <c r="K451" s="8">
        <f t="shared" ref="K451:K493" si="37">+H451-F451</f>
        <v>-1339</v>
      </c>
      <c r="L451" s="10">
        <f t="shared" ref="L451:L493" si="38">+J451*E451*H451</f>
        <v>5919265865613.082</v>
      </c>
      <c r="M451" s="4">
        <f t="shared" ref="M451:M493" si="39">(K451*L451/465743*D451)/3600000</f>
        <v>-5105324391.8143167</v>
      </c>
    </row>
    <row r="452" spans="1:13" x14ac:dyDescent="0.2">
      <c r="A452" s="1">
        <v>1</v>
      </c>
      <c r="B452">
        <v>3</v>
      </c>
      <c r="C452">
        <v>2.5</v>
      </c>
      <c r="D452">
        <v>1095000</v>
      </c>
      <c r="E452">
        <v>1968</v>
      </c>
      <c r="F452">
        <v>1868</v>
      </c>
      <c r="G452">
        <v>586</v>
      </c>
      <c r="H452">
        <v>187</v>
      </c>
      <c r="I452" s="4">
        <f t="shared" si="35"/>
        <v>368602</v>
      </c>
      <c r="J452" s="6">
        <f t="shared" si="36"/>
        <v>14879164.552202202</v>
      </c>
      <c r="K452" s="8">
        <f t="shared" si="37"/>
        <v>-1681</v>
      </c>
      <c r="L452" s="10">
        <f t="shared" si="38"/>
        <v>5475770621843.2451</v>
      </c>
      <c r="M452" s="4">
        <f t="shared" si="39"/>
        <v>-6011436209.7967663</v>
      </c>
    </row>
    <row r="453" spans="1:13" x14ac:dyDescent="0.2">
      <c r="A453" s="1">
        <v>1</v>
      </c>
      <c r="B453">
        <v>2</v>
      </c>
      <c r="C453">
        <v>1</v>
      </c>
      <c r="D453">
        <v>599000</v>
      </c>
      <c r="E453">
        <v>1972</v>
      </c>
      <c r="F453">
        <v>990</v>
      </c>
      <c r="G453">
        <v>605</v>
      </c>
      <c r="H453">
        <v>189</v>
      </c>
      <c r="I453" s="4">
        <f t="shared" si="35"/>
        <v>373313</v>
      </c>
      <c r="J453" s="6">
        <f t="shared" si="36"/>
        <v>11302790.147778017</v>
      </c>
      <c r="K453" s="8">
        <f t="shared" si="37"/>
        <v>-801</v>
      </c>
      <c r="L453" s="10">
        <f t="shared" si="38"/>
        <v>4212640310398.0493</v>
      </c>
      <c r="M453" s="4">
        <f t="shared" si="39"/>
        <v>-1205493521.03859</v>
      </c>
    </row>
    <row r="454" spans="1:13" x14ac:dyDescent="0.2">
      <c r="A454" s="1">
        <v>1</v>
      </c>
      <c r="B454">
        <v>2</v>
      </c>
      <c r="C454">
        <v>1</v>
      </c>
      <c r="D454">
        <v>915000</v>
      </c>
      <c r="E454">
        <v>1954</v>
      </c>
      <c r="F454">
        <v>1251</v>
      </c>
      <c r="G454">
        <v>731</v>
      </c>
      <c r="H454">
        <v>24</v>
      </c>
      <c r="I454" s="4">
        <f t="shared" si="35"/>
        <v>47627</v>
      </c>
      <c r="J454" s="6">
        <f t="shared" si="36"/>
        <v>1949432.3188394771</v>
      </c>
      <c r="K454" s="8">
        <f t="shared" si="37"/>
        <v>-1227</v>
      </c>
      <c r="L454" s="10">
        <f t="shared" si="38"/>
        <v>91420578024.296112</v>
      </c>
      <c r="M454" s="4">
        <f t="shared" si="39"/>
        <v>-61215412.822311983</v>
      </c>
    </row>
    <row r="455" spans="1:13" x14ac:dyDescent="0.2">
      <c r="A455" s="1">
        <v>1</v>
      </c>
      <c r="B455">
        <v>2</v>
      </c>
      <c r="C455">
        <v>1</v>
      </c>
      <c r="D455">
        <v>915000</v>
      </c>
      <c r="E455">
        <v>1954</v>
      </c>
      <c r="F455">
        <v>1251</v>
      </c>
      <c r="G455">
        <v>731</v>
      </c>
      <c r="H455">
        <v>24</v>
      </c>
      <c r="I455" s="4">
        <f t="shared" si="35"/>
        <v>47627</v>
      </c>
      <c r="J455" s="6">
        <f t="shared" si="36"/>
        <v>1949432.3188394771</v>
      </c>
      <c r="K455" s="8">
        <f t="shared" si="37"/>
        <v>-1227</v>
      </c>
      <c r="L455" s="10">
        <f t="shared" si="38"/>
        <v>91420578024.296112</v>
      </c>
      <c r="M455" s="4">
        <f t="shared" si="39"/>
        <v>-61215412.822311983</v>
      </c>
    </row>
    <row r="456" spans="1:13" x14ac:dyDescent="0.2">
      <c r="A456" s="1">
        <v>1</v>
      </c>
      <c r="B456">
        <v>3</v>
      </c>
      <c r="C456">
        <v>2</v>
      </c>
      <c r="D456">
        <v>725000</v>
      </c>
      <c r="E456">
        <v>1975</v>
      </c>
      <c r="F456">
        <v>1474</v>
      </c>
      <c r="G456">
        <v>492</v>
      </c>
      <c r="H456">
        <v>34</v>
      </c>
      <c r="I456" s="4">
        <f t="shared" si="35"/>
        <v>67642</v>
      </c>
      <c r="J456" s="6">
        <f t="shared" si="36"/>
        <v>2017639.8632710283</v>
      </c>
      <c r="K456" s="8">
        <f t="shared" si="37"/>
        <v>-1440</v>
      </c>
      <c r="L456" s="10">
        <f t="shared" si="38"/>
        <v>135484516818.64955</v>
      </c>
      <c r="M456" s="4">
        <f t="shared" si="39"/>
        <v>-84360924.109237</v>
      </c>
    </row>
    <row r="457" spans="1:13" x14ac:dyDescent="0.2">
      <c r="A457" s="1">
        <v>1</v>
      </c>
      <c r="B457">
        <v>3</v>
      </c>
      <c r="C457">
        <v>2.5</v>
      </c>
      <c r="D457">
        <v>1588000</v>
      </c>
      <c r="E457">
        <v>2015</v>
      </c>
      <c r="F457">
        <v>2001</v>
      </c>
      <c r="G457">
        <v>794</v>
      </c>
      <c r="H457">
        <v>43</v>
      </c>
      <c r="I457" s="4">
        <f t="shared" si="35"/>
        <v>87439</v>
      </c>
      <c r="J457" s="6">
        <f t="shared" si="36"/>
        <v>4798034.7670694618</v>
      </c>
      <c r="K457" s="8">
        <f t="shared" si="37"/>
        <v>-1958</v>
      </c>
      <c r="L457" s="10">
        <f t="shared" si="38"/>
        <v>415725722392.73352</v>
      </c>
      <c r="M457" s="4">
        <f t="shared" si="39"/>
        <v>-770941181.64036095</v>
      </c>
    </row>
    <row r="458" spans="1:13" x14ac:dyDescent="0.2">
      <c r="A458" s="1">
        <v>1</v>
      </c>
      <c r="B458">
        <v>2</v>
      </c>
      <c r="C458">
        <v>1</v>
      </c>
      <c r="D458">
        <v>795000</v>
      </c>
      <c r="E458">
        <v>1941</v>
      </c>
      <c r="F458">
        <v>1256</v>
      </c>
      <c r="G458">
        <v>633</v>
      </c>
      <c r="H458">
        <v>63</v>
      </c>
      <c r="I458" s="4">
        <f t="shared" si="35"/>
        <v>122916</v>
      </c>
      <c r="J458" s="6">
        <f t="shared" si="36"/>
        <v>4440071.5375145813</v>
      </c>
      <c r="K458" s="8">
        <f t="shared" si="37"/>
        <v>-1193</v>
      </c>
      <c r="L458" s="10">
        <f t="shared" si="38"/>
        <v>542945267821.89551</v>
      </c>
      <c r="M458" s="4">
        <f t="shared" si="39"/>
        <v>-307124729.90389043</v>
      </c>
    </row>
    <row r="459" spans="1:13" x14ac:dyDescent="0.2">
      <c r="A459" s="1">
        <v>1</v>
      </c>
      <c r="B459">
        <v>2</v>
      </c>
      <c r="C459">
        <v>1</v>
      </c>
      <c r="D459">
        <v>795000</v>
      </c>
      <c r="E459">
        <v>1941</v>
      </c>
      <c r="F459">
        <v>1256</v>
      </c>
      <c r="G459">
        <v>633</v>
      </c>
      <c r="H459">
        <v>63</v>
      </c>
      <c r="I459" s="4">
        <f t="shared" si="35"/>
        <v>122916</v>
      </c>
      <c r="J459" s="6">
        <f t="shared" si="36"/>
        <v>4440071.5375145813</v>
      </c>
      <c r="K459" s="8">
        <f t="shared" si="37"/>
        <v>-1193</v>
      </c>
      <c r="L459" s="10">
        <f t="shared" si="38"/>
        <v>542945267821.89551</v>
      </c>
      <c r="M459" s="4">
        <f t="shared" si="39"/>
        <v>-307124729.90389043</v>
      </c>
    </row>
    <row r="460" spans="1:13" x14ac:dyDescent="0.2">
      <c r="A460" s="1">
        <v>1</v>
      </c>
      <c r="B460">
        <v>4</v>
      </c>
      <c r="C460">
        <v>2</v>
      </c>
      <c r="D460">
        <v>848000</v>
      </c>
      <c r="E460">
        <v>1949</v>
      </c>
      <c r="F460">
        <v>1646</v>
      </c>
      <c r="G460">
        <v>515</v>
      </c>
      <c r="H460">
        <v>69</v>
      </c>
      <c r="I460" s="4">
        <f t="shared" si="35"/>
        <v>134996</v>
      </c>
      <c r="J460" s="6">
        <f t="shared" si="36"/>
        <v>4529206.5163420197</v>
      </c>
      <c r="K460" s="8">
        <f t="shared" si="37"/>
        <v>-1577</v>
      </c>
      <c r="L460" s="10">
        <f t="shared" si="38"/>
        <v>609092221524.19104</v>
      </c>
      <c r="M460" s="4">
        <f t="shared" si="39"/>
        <v>-485804755.62429553</v>
      </c>
    </row>
    <row r="461" spans="1:13" x14ac:dyDescent="0.2">
      <c r="A461" s="1">
        <v>1</v>
      </c>
      <c r="B461">
        <v>1</v>
      </c>
      <c r="C461">
        <v>1</v>
      </c>
      <c r="D461">
        <v>439000</v>
      </c>
      <c r="E461">
        <v>2002</v>
      </c>
      <c r="F461">
        <v>667</v>
      </c>
      <c r="G461">
        <v>658</v>
      </c>
      <c r="H461">
        <v>80</v>
      </c>
      <c r="I461" s="4">
        <f t="shared" si="35"/>
        <v>160818</v>
      </c>
      <c r="J461" s="6">
        <f t="shared" si="36"/>
        <v>4271001.1250459114</v>
      </c>
      <c r="K461" s="8">
        <f t="shared" si="37"/>
        <v>-587</v>
      </c>
      <c r="L461" s="10">
        <f t="shared" si="38"/>
        <v>684043540187.35315</v>
      </c>
      <c r="M461" s="4">
        <f t="shared" si="39"/>
        <v>-105132630.37143493</v>
      </c>
    </row>
    <row r="462" spans="1:13" x14ac:dyDescent="0.2">
      <c r="A462" s="1">
        <v>1</v>
      </c>
      <c r="B462">
        <v>3</v>
      </c>
      <c r="C462">
        <v>2</v>
      </c>
      <c r="D462">
        <v>849900</v>
      </c>
      <c r="E462">
        <v>1958</v>
      </c>
      <c r="F462">
        <v>1310</v>
      </c>
      <c r="G462">
        <v>649</v>
      </c>
      <c r="H462">
        <v>118</v>
      </c>
      <c r="I462" s="4">
        <f t="shared" si="35"/>
        <v>231693</v>
      </c>
      <c r="J462" s="6">
        <f t="shared" si="36"/>
        <v>8707896.1334453877</v>
      </c>
      <c r="K462" s="8">
        <f t="shared" si="37"/>
        <v>-1192</v>
      </c>
      <c r="L462" s="10">
        <f t="shared" si="38"/>
        <v>2011907154255.7563</v>
      </c>
      <c r="M462" s="4">
        <f t="shared" si="39"/>
        <v>-1215634963.5356512</v>
      </c>
    </row>
    <row r="463" spans="1:13" x14ac:dyDescent="0.2">
      <c r="A463" s="1">
        <v>1</v>
      </c>
      <c r="B463">
        <v>2</v>
      </c>
      <c r="C463">
        <v>1</v>
      </c>
      <c r="D463">
        <v>599000</v>
      </c>
      <c r="E463">
        <v>1941</v>
      </c>
      <c r="F463">
        <v>1254</v>
      </c>
      <c r="G463">
        <v>478</v>
      </c>
      <c r="H463">
        <v>123</v>
      </c>
      <c r="I463" s="4">
        <f t="shared" si="35"/>
        <v>239221</v>
      </c>
      <c r="J463" s="6">
        <f t="shared" si="36"/>
        <v>6540827.030765797</v>
      </c>
      <c r="K463" s="8">
        <f t="shared" si="37"/>
        <v>-1131</v>
      </c>
      <c r="L463" s="10">
        <f t="shared" si="38"/>
        <v>1561576667806.1187</v>
      </c>
      <c r="M463" s="4">
        <f t="shared" si="39"/>
        <v>-630963012.95990348</v>
      </c>
    </row>
    <row r="464" spans="1:13" x14ac:dyDescent="0.2">
      <c r="A464" s="1">
        <v>1</v>
      </c>
      <c r="B464">
        <v>3</v>
      </c>
      <c r="C464">
        <v>2.5</v>
      </c>
      <c r="D464">
        <v>1539514</v>
      </c>
      <c r="E464">
        <v>2014</v>
      </c>
      <c r="F464">
        <v>2024</v>
      </c>
      <c r="G464">
        <v>761</v>
      </c>
      <c r="H464">
        <v>136</v>
      </c>
      <c r="I464" s="4">
        <f t="shared" si="35"/>
        <v>274665</v>
      </c>
      <c r="J464" s="6">
        <f t="shared" si="36"/>
        <v>14627823.365504114</v>
      </c>
      <c r="K464" s="8">
        <f t="shared" si="37"/>
        <v>-1888</v>
      </c>
      <c r="L464" s="10">
        <f t="shared" si="38"/>
        <v>4006619331105.0391</v>
      </c>
      <c r="M464" s="4">
        <f t="shared" si="39"/>
        <v>-6945681709.9464493</v>
      </c>
    </row>
    <row r="465" spans="1:13" x14ac:dyDescent="0.2">
      <c r="A465" s="1">
        <v>1</v>
      </c>
      <c r="B465">
        <v>3</v>
      </c>
      <c r="C465">
        <v>2.5</v>
      </c>
      <c r="D465">
        <v>1339000</v>
      </c>
      <c r="E465">
        <v>2015</v>
      </c>
      <c r="F465">
        <v>2133</v>
      </c>
      <c r="G465">
        <v>628</v>
      </c>
      <c r="H465">
        <v>143</v>
      </c>
      <c r="I465" s="4">
        <f t="shared" si="35"/>
        <v>288773</v>
      </c>
      <c r="J465" s="6">
        <f t="shared" si="36"/>
        <v>13029927.438013786</v>
      </c>
      <c r="K465" s="8">
        <f t="shared" si="37"/>
        <v>-1990</v>
      </c>
      <c r="L465" s="10">
        <f t="shared" si="38"/>
        <v>3754508441626.4824</v>
      </c>
      <c r="M465" s="4">
        <f t="shared" si="39"/>
        <v>-5966750820.5182915</v>
      </c>
    </row>
    <row r="466" spans="1:13" x14ac:dyDescent="0.2">
      <c r="A466" s="1">
        <v>1</v>
      </c>
      <c r="B466">
        <v>3</v>
      </c>
      <c r="C466">
        <v>2.5</v>
      </c>
      <c r="D466">
        <v>1294000</v>
      </c>
      <c r="E466">
        <v>2015</v>
      </c>
      <c r="F466">
        <v>2133</v>
      </c>
      <c r="G466">
        <v>607</v>
      </c>
      <c r="H466">
        <v>143</v>
      </c>
      <c r="I466" s="4">
        <f t="shared" si="35"/>
        <v>288752</v>
      </c>
      <c r="J466" s="6">
        <f t="shared" si="36"/>
        <v>12594213.303940076</v>
      </c>
      <c r="K466" s="8">
        <f t="shared" si="37"/>
        <v>-1990</v>
      </c>
      <c r="L466" s="10">
        <f t="shared" si="38"/>
        <v>3628959592463.8135</v>
      </c>
      <c r="M466" s="4">
        <f t="shared" si="39"/>
        <v>-5573405581.1955109</v>
      </c>
    </row>
    <row r="467" spans="1:13" x14ac:dyDescent="0.2">
      <c r="A467" s="1">
        <v>1</v>
      </c>
      <c r="B467">
        <v>3</v>
      </c>
      <c r="C467">
        <v>2.5</v>
      </c>
      <c r="D467">
        <v>1611000</v>
      </c>
      <c r="E467">
        <v>2015</v>
      </c>
      <c r="F467">
        <v>2001</v>
      </c>
      <c r="G467">
        <v>805</v>
      </c>
      <c r="H467">
        <v>153</v>
      </c>
      <c r="I467" s="4">
        <f t="shared" si="35"/>
        <v>309100</v>
      </c>
      <c r="J467" s="6">
        <f t="shared" si="36"/>
        <v>17308592.117805351</v>
      </c>
      <c r="K467" s="8">
        <f t="shared" si="37"/>
        <v>-1848</v>
      </c>
      <c r="L467" s="10">
        <f t="shared" si="38"/>
        <v>5336152406958.8008</v>
      </c>
      <c r="M467" s="4">
        <f t="shared" si="39"/>
        <v>-9474949312.1888866</v>
      </c>
    </row>
    <row r="468" spans="1:13" x14ac:dyDescent="0.2">
      <c r="A468" s="1">
        <v>1</v>
      </c>
      <c r="B468">
        <v>2</v>
      </c>
      <c r="C468">
        <v>2</v>
      </c>
      <c r="D468">
        <v>1495000</v>
      </c>
      <c r="E468">
        <v>1913</v>
      </c>
      <c r="F468">
        <v>1174</v>
      </c>
      <c r="G468">
        <v>1273</v>
      </c>
      <c r="H468">
        <v>35</v>
      </c>
      <c r="I468" s="4">
        <f t="shared" si="35"/>
        <v>68228</v>
      </c>
      <c r="J468" s="6">
        <f t="shared" si="36"/>
        <v>4796024.4087907597</v>
      </c>
      <c r="K468" s="8">
        <f t="shared" si="37"/>
        <v>-1139</v>
      </c>
      <c r="L468" s="10">
        <f t="shared" si="38"/>
        <v>321117814290.58533</v>
      </c>
      <c r="M468" s="4">
        <f t="shared" si="39"/>
        <v>-326122286.66112244</v>
      </c>
    </row>
    <row r="469" spans="1:13" x14ac:dyDescent="0.2">
      <c r="A469" s="1">
        <v>1</v>
      </c>
      <c r="B469">
        <v>1</v>
      </c>
      <c r="C469">
        <v>1</v>
      </c>
      <c r="D469">
        <v>699000</v>
      </c>
      <c r="E469">
        <v>1908</v>
      </c>
      <c r="F469">
        <v>750</v>
      </c>
      <c r="G469">
        <v>932</v>
      </c>
      <c r="H469">
        <v>36</v>
      </c>
      <c r="I469" s="4">
        <f t="shared" si="35"/>
        <v>69620</v>
      </c>
      <c r="J469" s="6">
        <f t="shared" si="36"/>
        <v>2886688.5731378463</v>
      </c>
      <c r="K469" s="8">
        <f t="shared" si="37"/>
        <v>-714</v>
      </c>
      <c r="L469" s="10">
        <f t="shared" si="38"/>
        <v>198280864711.69238</v>
      </c>
      <c r="M469" s="4">
        <f t="shared" si="39"/>
        <v>-59021107.519180052</v>
      </c>
    </row>
    <row r="470" spans="1:13" x14ac:dyDescent="0.2">
      <c r="A470" s="1">
        <v>1</v>
      </c>
      <c r="B470">
        <v>2</v>
      </c>
      <c r="C470">
        <v>2.5</v>
      </c>
      <c r="D470">
        <v>3495000</v>
      </c>
      <c r="E470">
        <v>1900</v>
      </c>
      <c r="F470">
        <v>1968</v>
      </c>
      <c r="G470">
        <v>1776</v>
      </c>
      <c r="H470">
        <v>76</v>
      </c>
      <c r="I470" s="4">
        <f t="shared" si="35"/>
        <v>146176</v>
      </c>
      <c r="J470" s="6">
        <f t="shared" si="36"/>
        <v>18811351.088978447</v>
      </c>
      <c r="K470" s="8">
        <f t="shared" si="37"/>
        <v>-1892</v>
      </c>
      <c r="L470" s="10">
        <f t="shared" si="38"/>
        <v>2716359097248.4878</v>
      </c>
      <c r="M470" s="4">
        <f t="shared" si="39"/>
        <v>-10712890290.30526</v>
      </c>
    </row>
    <row r="471" spans="1:13" x14ac:dyDescent="0.2">
      <c r="A471" s="1">
        <v>1</v>
      </c>
      <c r="B471">
        <v>4</v>
      </c>
      <c r="C471">
        <v>2</v>
      </c>
      <c r="D471">
        <v>699000</v>
      </c>
      <c r="E471">
        <v>1949</v>
      </c>
      <c r="F471">
        <v>1550</v>
      </c>
      <c r="G471">
        <v>451</v>
      </c>
      <c r="H471">
        <v>11</v>
      </c>
      <c r="I471" s="4">
        <f t="shared" si="35"/>
        <v>21890</v>
      </c>
      <c r="J471" s="6">
        <f t="shared" si="36"/>
        <v>613600.86671317345</v>
      </c>
      <c r="K471" s="8">
        <f t="shared" si="37"/>
        <v>-1539</v>
      </c>
      <c r="L471" s="10">
        <f t="shared" si="38"/>
        <v>13154988981.463726</v>
      </c>
      <c r="M471" s="4">
        <f t="shared" si="39"/>
        <v>-8440291.5232509021</v>
      </c>
    </row>
    <row r="472" spans="1:13" x14ac:dyDescent="0.2">
      <c r="A472" s="1">
        <v>1</v>
      </c>
      <c r="B472">
        <v>2</v>
      </c>
      <c r="C472">
        <v>1</v>
      </c>
      <c r="D472">
        <v>699000</v>
      </c>
      <c r="E472">
        <v>1949</v>
      </c>
      <c r="F472">
        <v>1050</v>
      </c>
      <c r="G472">
        <v>666</v>
      </c>
      <c r="H472">
        <v>64</v>
      </c>
      <c r="I472" s="4">
        <f t="shared" si="35"/>
        <v>125402</v>
      </c>
      <c r="J472" s="6">
        <f t="shared" si="36"/>
        <v>4339100.8177365363</v>
      </c>
      <c r="K472" s="8">
        <f t="shared" si="37"/>
        <v>-986</v>
      </c>
      <c r="L472" s="10">
        <f t="shared" si="38"/>
        <v>541242079601.18457</v>
      </c>
      <c r="M472" s="4">
        <f t="shared" si="39"/>
        <v>-222482987.54788396</v>
      </c>
    </row>
    <row r="473" spans="1:13" x14ac:dyDescent="0.2">
      <c r="A473" s="1">
        <v>1</v>
      </c>
      <c r="B473">
        <v>3</v>
      </c>
      <c r="C473">
        <v>3</v>
      </c>
      <c r="D473">
        <v>888000</v>
      </c>
      <c r="E473">
        <v>1975</v>
      </c>
      <c r="F473">
        <v>1555</v>
      </c>
      <c r="G473">
        <v>571</v>
      </c>
      <c r="H473">
        <v>79</v>
      </c>
      <c r="I473" s="4">
        <f t="shared" si="35"/>
        <v>156596</v>
      </c>
      <c r="J473" s="6">
        <f t="shared" si="36"/>
        <v>5588294.4917407501</v>
      </c>
      <c r="K473" s="8">
        <f t="shared" si="37"/>
        <v>-1476</v>
      </c>
      <c r="L473" s="10">
        <f t="shared" si="38"/>
        <v>871913648073.85046</v>
      </c>
      <c r="M473" s="4">
        <f t="shared" si="39"/>
        <v>-681591180.09444582</v>
      </c>
    </row>
    <row r="474" spans="1:13" x14ac:dyDescent="0.2">
      <c r="A474" s="1">
        <v>1</v>
      </c>
      <c r="B474">
        <v>1</v>
      </c>
      <c r="C474">
        <v>1</v>
      </c>
      <c r="D474">
        <v>599000</v>
      </c>
      <c r="E474">
        <v>1945</v>
      </c>
      <c r="F474">
        <v>631</v>
      </c>
      <c r="G474">
        <v>949</v>
      </c>
      <c r="H474">
        <v>84</v>
      </c>
      <c r="I474" s="4">
        <f t="shared" si="35"/>
        <v>164329</v>
      </c>
      <c r="J474" s="6">
        <f t="shared" si="36"/>
        <v>6290875.1529048225</v>
      </c>
      <c r="K474" s="8">
        <f t="shared" si="37"/>
        <v>-547</v>
      </c>
      <c r="L474" s="10">
        <f t="shared" si="38"/>
        <v>1027803182481.5898</v>
      </c>
      <c r="M474" s="4">
        <f t="shared" si="39"/>
        <v>-200851588.00599876</v>
      </c>
    </row>
    <row r="475" spans="1:13" x14ac:dyDescent="0.2">
      <c r="A475" s="1">
        <v>1</v>
      </c>
      <c r="B475">
        <v>3</v>
      </c>
      <c r="C475">
        <v>3</v>
      </c>
      <c r="D475">
        <v>758000</v>
      </c>
      <c r="E475">
        <v>1989</v>
      </c>
      <c r="F475">
        <v>2157</v>
      </c>
      <c r="G475">
        <v>351</v>
      </c>
      <c r="H475">
        <v>90</v>
      </c>
      <c r="I475" s="4">
        <f t="shared" si="35"/>
        <v>179361</v>
      </c>
      <c r="J475" s="6">
        <f t="shared" si="36"/>
        <v>4609200.355601524</v>
      </c>
      <c r="K475" s="8">
        <f t="shared" si="37"/>
        <v>-2067</v>
      </c>
      <c r="L475" s="10">
        <f t="shared" si="38"/>
        <v>825092955656.22888</v>
      </c>
      <c r="M475" s="4">
        <f t="shared" si="39"/>
        <v>-771016592.85438073</v>
      </c>
    </row>
    <row r="476" spans="1:13" x14ac:dyDescent="0.2">
      <c r="A476" s="1">
        <v>1</v>
      </c>
      <c r="B476">
        <v>2</v>
      </c>
      <c r="C476">
        <v>2</v>
      </c>
      <c r="D476">
        <v>1698000</v>
      </c>
      <c r="E476">
        <v>2008</v>
      </c>
      <c r="F476">
        <v>1620</v>
      </c>
      <c r="G476">
        <v>1048</v>
      </c>
      <c r="H476">
        <v>1</v>
      </c>
      <c r="I476" s="4">
        <f t="shared" si="35"/>
        <v>3056</v>
      </c>
      <c r="J476" s="6">
        <f t="shared" si="36"/>
        <v>132516.41496665005</v>
      </c>
      <c r="K476" s="8">
        <f t="shared" si="37"/>
        <v>-1619</v>
      </c>
      <c r="L476" s="10">
        <f t="shared" si="38"/>
        <v>266092961.25303328</v>
      </c>
      <c r="M476" s="4">
        <f t="shared" si="39"/>
        <v>-436283.79710137361</v>
      </c>
    </row>
    <row r="477" spans="1:13" x14ac:dyDescent="0.2">
      <c r="A477" s="1">
        <v>1</v>
      </c>
      <c r="B477">
        <v>2</v>
      </c>
      <c r="C477">
        <v>2</v>
      </c>
      <c r="D477">
        <v>1698000</v>
      </c>
      <c r="E477">
        <v>2008</v>
      </c>
      <c r="F477">
        <v>1620</v>
      </c>
      <c r="G477">
        <v>1048</v>
      </c>
      <c r="H477">
        <v>1</v>
      </c>
      <c r="I477" s="4">
        <f t="shared" si="35"/>
        <v>3056</v>
      </c>
      <c r="J477" s="6">
        <f t="shared" si="36"/>
        <v>132516.41496665005</v>
      </c>
      <c r="K477" s="8">
        <f t="shared" si="37"/>
        <v>-1619</v>
      </c>
      <c r="L477" s="10">
        <f t="shared" si="38"/>
        <v>266092961.25303328</v>
      </c>
      <c r="M477" s="4">
        <f t="shared" si="39"/>
        <v>-436283.79710137361</v>
      </c>
    </row>
    <row r="478" spans="1:13" x14ac:dyDescent="0.2">
      <c r="A478" s="1">
        <v>1</v>
      </c>
      <c r="B478">
        <v>1</v>
      </c>
      <c r="C478">
        <v>1</v>
      </c>
      <c r="D478">
        <v>849000</v>
      </c>
      <c r="E478">
        <v>2012</v>
      </c>
      <c r="F478">
        <v>886</v>
      </c>
      <c r="G478">
        <v>958</v>
      </c>
      <c r="H478">
        <v>2</v>
      </c>
      <c r="I478" s="4">
        <f t="shared" si="35"/>
        <v>4982</v>
      </c>
      <c r="J478" s="6">
        <f t="shared" si="36"/>
        <v>179169.15849801141</v>
      </c>
      <c r="K478" s="8">
        <f t="shared" si="37"/>
        <v>-884</v>
      </c>
      <c r="L478" s="10">
        <f t="shared" si="38"/>
        <v>720976693.79599798</v>
      </c>
      <c r="M478" s="4">
        <f t="shared" si="39"/>
        <v>-322724.80287829053</v>
      </c>
    </row>
    <row r="479" spans="1:13" x14ac:dyDescent="0.2">
      <c r="A479" s="1">
        <v>1</v>
      </c>
      <c r="B479">
        <v>2</v>
      </c>
      <c r="C479">
        <v>2</v>
      </c>
      <c r="D479">
        <v>1675000</v>
      </c>
      <c r="E479">
        <v>2012</v>
      </c>
      <c r="F479">
        <v>1562</v>
      </c>
      <c r="G479">
        <v>1072</v>
      </c>
      <c r="H479">
        <v>2</v>
      </c>
      <c r="I479" s="4">
        <f t="shared" si="35"/>
        <v>5096</v>
      </c>
      <c r="J479" s="6">
        <f t="shared" si="36"/>
        <v>266204.98510194302</v>
      </c>
      <c r="K479" s="8">
        <f t="shared" si="37"/>
        <v>-1560</v>
      </c>
      <c r="L479" s="10">
        <f t="shared" si="38"/>
        <v>1071208860.0502187</v>
      </c>
      <c r="M479" s="4">
        <f t="shared" si="39"/>
        <v>-1669416.6044072597</v>
      </c>
    </row>
    <row r="480" spans="1:13" x14ac:dyDescent="0.2">
      <c r="A480" s="1">
        <v>1</v>
      </c>
      <c r="B480">
        <v>2</v>
      </c>
      <c r="C480">
        <v>2</v>
      </c>
      <c r="D480">
        <v>1695000</v>
      </c>
      <c r="E480">
        <v>2007</v>
      </c>
      <c r="F480">
        <v>1610</v>
      </c>
      <c r="G480">
        <v>1053</v>
      </c>
      <c r="H480">
        <v>2</v>
      </c>
      <c r="I480" s="4">
        <f t="shared" si="35"/>
        <v>5067</v>
      </c>
      <c r="J480" s="6">
        <f t="shared" si="36"/>
        <v>265474.12199407077</v>
      </c>
      <c r="K480" s="8">
        <f t="shared" si="37"/>
        <v>-1608</v>
      </c>
      <c r="L480" s="10">
        <f t="shared" si="38"/>
        <v>1065613125.6842</v>
      </c>
      <c r="M480" s="4">
        <f t="shared" si="39"/>
        <v>-1732233.6512959031</v>
      </c>
    </row>
    <row r="481" spans="1:13" x14ac:dyDescent="0.2">
      <c r="A481" s="1">
        <v>1</v>
      </c>
      <c r="B481">
        <v>3</v>
      </c>
      <c r="C481">
        <v>2</v>
      </c>
      <c r="D481">
        <v>2219000</v>
      </c>
      <c r="E481">
        <v>2012</v>
      </c>
      <c r="F481">
        <v>1921</v>
      </c>
      <c r="G481">
        <v>1155</v>
      </c>
      <c r="H481">
        <v>13</v>
      </c>
      <c r="I481" s="4">
        <f t="shared" si="35"/>
        <v>27311</v>
      </c>
      <c r="J481" s="6">
        <f t="shared" si="36"/>
        <v>2067473.2884930593</v>
      </c>
      <c r="K481" s="8">
        <f t="shared" si="37"/>
        <v>-1908</v>
      </c>
      <c r="L481" s="10">
        <f t="shared" si="38"/>
        <v>54076831333.824455</v>
      </c>
      <c r="M481" s="4">
        <f t="shared" si="39"/>
        <v>-136552001.9125804</v>
      </c>
    </row>
    <row r="482" spans="1:13" x14ac:dyDescent="0.2">
      <c r="A482" s="1">
        <v>1</v>
      </c>
      <c r="B482">
        <v>1</v>
      </c>
      <c r="C482">
        <v>1</v>
      </c>
      <c r="D482">
        <v>788000</v>
      </c>
      <c r="E482">
        <v>2004</v>
      </c>
      <c r="F482">
        <v>903</v>
      </c>
      <c r="G482">
        <v>873</v>
      </c>
      <c r="H482">
        <v>4</v>
      </c>
      <c r="I482" s="4">
        <f t="shared" si="35"/>
        <v>8889</v>
      </c>
      <c r="J482" s="6">
        <f t="shared" si="36"/>
        <v>329662.08301745454</v>
      </c>
      <c r="K482" s="8">
        <f t="shared" si="37"/>
        <v>-899</v>
      </c>
      <c r="L482" s="10">
        <f t="shared" si="38"/>
        <v>2642571257.4679155</v>
      </c>
      <c r="M482" s="4">
        <f t="shared" si="39"/>
        <v>-1116512.9872801579</v>
      </c>
    </row>
    <row r="483" spans="1:13" x14ac:dyDescent="0.2">
      <c r="A483" s="1">
        <v>1</v>
      </c>
      <c r="B483">
        <v>2</v>
      </c>
      <c r="C483">
        <v>2</v>
      </c>
      <c r="D483">
        <v>1950000</v>
      </c>
      <c r="E483">
        <v>1995</v>
      </c>
      <c r="F483">
        <v>1930</v>
      </c>
      <c r="G483">
        <v>1010</v>
      </c>
      <c r="H483">
        <v>4</v>
      </c>
      <c r="I483" s="4">
        <f t="shared" si="35"/>
        <v>8990</v>
      </c>
      <c r="J483" s="6">
        <f t="shared" si="36"/>
        <v>557584.77647760906</v>
      </c>
      <c r="K483" s="8">
        <f t="shared" si="37"/>
        <v>-1926</v>
      </c>
      <c r="L483" s="10">
        <f t="shared" si="38"/>
        <v>4449526516.2913198</v>
      </c>
      <c r="M483" s="4">
        <f t="shared" si="39"/>
        <v>-9966802.5888116844</v>
      </c>
    </row>
    <row r="484" spans="1:13" x14ac:dyDescent="0.2">
      <c r="A484" s="1">
        <v>1</v>
      </c>
      <c r="B484">
        <v>0</v>
      </c>
      <c r="C484">
        <v>1</v>
      </c>
      <c r="D484">
        <v>539000</v>
      </c>
      <c r="E484">
        <v>2000</v>
      </c>
      <c r="F484">
        <v>709</v>
      </c>
      <c r="G484">
        <v>760</v>
      </c>
      <c r="H484">
        <v>5</v>
      </c>
      <c r="I484" s="4">
        <f t="shared" si="35"/>
        <v>10760</v>
      </c>
      <c r="J484" s="6">
        <f t="shared" si="36"/>
        <v>317875.89975847118</v>
      </c>
      <c r="K484" s="8">
        <f t="shared" si="37"/>
        <v>-704</v>
      </c>
      <c r="L484" s="10">
        <f t="shared" si="38"/>
        <v>3178758997.584712</v>
      </c>
      <c r="M484" s="4">
        <f t="shared" si="39"/>
        <v>-719399.59626488364</v>
      </c>
    </row>
    <row r="485" spans="1:13" x14ac:dyDescent="0.2">
      <c r="A485" s="1">
        <v>1</v>
      </c>
      <c r="B485">
        <v>2</v>
      </c>
      <c r="C485">
        <v>2</v>
      </c>
      <c r="D485">
        <v>849000</v>
      </c>
      <c r="E485">
        <v>1982</v>
      </c>
      <c r="F485">
        <v>1030</v>
      </c>
      <c r="G485">
        <v>824</v>
      </c>
      <c r="H485">
        <v>24</v>
      </c>
      <c r="I485" s="4">
        <f t="shared" si="35"/>
        <v>48392</v>
      </c>
      <c r="J485" s="6">
        <f t="shared" si="36"/>
        <v>1993921.0304838968</v>
      </c>
      <c r="K485" s="8">
        <f t="shared" si="37"/>
        <v>-1006</v>
      </c>
      <c r="L485" s="10">
        <f t="shared" si="38"/>
        <v>94846835578.058014</v>
      </c>
      <c r="M485" s="4">
        <f t="shared" si="39"/>
        <v>-48314743.673732005</v>
      </c>
    </row>
    <row r="486" spans="1:13" x14ac:dyDescent="0.2">
      <c r="A486" s="1">
        <v>1</v>
      </c>
      <c r="B486">
        <v>2</v>
      </c>
      <c r="C486">
        <v>2.5</v>
      </c>
      <c r="D486">
        <v>2495000</v>
      </c>
      <c r="E486">
        <v>1940</v>
      </c>
      <c r="F486">
        <v>1809</v>
      </c>
      <c r="G486">
        <v>1379</v>
      </c>
      <c r="H486">
        <v>48</v>
      </c>
      <c r="I486" s="4">
        <f t="shared" si="35"/>
        <v>94499</v>
      </c>
      <c r="J486" s="6">
        <f t="shared" si="36"/>
        <v>8844548.6520903446</v>
      </c>
      <c r="K486" s="8">
        <f t="shared" si="37"/>
        <v>-1761</v>
      </c>
      <c r="L486" s="10">
        <f t="shared" si="38"/>
        <v>823604370482.65295</v>
      </c>
      <c r="M486" s="4">
        <f t="shared" si="39"/>
        <v>-2158239871.3022823</v>
      </c>
    </row>
    <row r="487" spans="1:13" x14ac:dyDescent="0.2">
      <c r="A487" s="1">
        <v>1</v>
      </c>
      <c r="B487">
        <v>4</v>
      </c>
      <c r="C487">
        <v>4</v>
      </c>
      <c r="D487">
        <v>3760000</v>
      </c>
      <c r="E487">
        <v>1894</v>
      </c>
      <c r="F487">
        <v>3085</v>
      </c>
      <c r="G487">
        <v>1219</v>
      </c>
      <c r="H487">
        <v>49</v>
      </c>
      <c r="I487" s="4">
        <f t="shared" si="35"/>
        <v>94025</v>
      </c>
      <c r="J487" s="6">
        <f t="shared" si="36"/>
        <v>10422652.495904641</v>
      </c>
      <c r="K487" s="8">
        <f t="shared" si="37"/>
        <v>-3036</v>
      </c>
      <c r="L487" s="10">
        <f t="shared" si="38"/>
        <v>967284687534.92603</v>
      </c>
      <c r="M487" s="4">
        <f t="shared" si="39"/>
        <v>-6585596044.4438562</v>
      </c>
    </row>
    <row r="488" spans="1:13" x14ac:dyDescent="0.2">
      <c r="A488" s="1">
        <v>1</v>
      </c>
      <c r="B488">
        <v>3</v>
      </c>
      <c r="C488">
        <v>2</v>
      </c>
      <c r="D488">
        <v>1799000</v>
      </c>
      <c r="E488">
        <v>1926</v>
      </c>
      <c r="F488">
        <v>1800</v>
      </c>
      <c r="G488">
        <v>999</v>
      </c>
      <c r="H488">
        <v>66</v>
      </c>
      <c r="I488" s="4">
        <f t="shared" si="35"/>
        <v>128115</v>
      </c>
      <c r="J488" s="6">
        <f t="shared" si="36"/>
        <v>8788131.8597630542</v>
      </c>
      <c r="K488" s="8">
        <f t="shared" si="37"/>
        <v>-1734</v>
      </c>
      <c r="L488" s="10">
        <f t="shared" si="38"/>
        <v>1117112169485.6404</v>
      </c>
      <c r="M488" s="4">
        <f t="shared" si="39"/>
        <v>-2078395542.7114983</v>
      </c>
    </row>
    <row r="489" spans="1:13" x14ac:dyDescent="0.2">
      <c r="A489" s="1">
        <v>1</v>
      </c>
      <c r="B489">
        <v>5</v>
      </c>
      <c r="C489">
        <v>2.5</v>
      </c>
      <c r="D489">
        <v>1800000</v>
      </c>
      <c r="E489">
        <v>1890</v>
      </c>
      <c r="F489">
        <v>3073</v>
      </c>
      <c r="G489">
        <v>586</v>
      </c>
      <c r="H489">
        <v>76</v>
      </c>
      <c r="I489" s="4">
        <f t="shared" si="35"/>
        <v>144226</v>
      </c>
      <c r="J489" s="6">
        <f t="shared" si="36"/>
        <v>7756099.5866366941</v>
      </c>
      <c r="K489" s="8">
        <f t="shared" si="37"/>
        <v>-2997</v>
      </c>
      <c r="L489" s="10">
        <f t="shared" si="38"/>
        <v>1114086144624.4949</v>
      </c>
      <c r="M489" s="4">
        <f t="shared" si="39"/>
        <v>-3584504947.4061995</v>
      </c>
    </row>
    <row r="490" spans="1:13" x14ac:dyDescent="0.2">
      <c r="A490" s="1">
        <v>1</v>
      </c>
      <c r="B490">
        <v>2</v>
      </c>
      <c r="C490">
        <v>1</v>
      </c>
      <c r="D490">
        <v>695000</v>
      </c>
      <c r="E490">
        <v>1923</v>
      </c>
      <c r="F490">
        <v>1045</v>
      </c>
      <c r="G490">
        <v>665</v>
      </c>
      <c r="H490">
        <v>106</v>
      </c>
      <c r="I490" s="4">
        <f t="shared" si="35"/>
        <v>204503</v>
      </c>
      <c r="J490" s="6">
        <f t="shared" si="36"/>
        <v>7158739.2515661325</v>
      </c>
      <c r="K490" s="8">
        <f t="shared" si="37"/>
        <v>-939</v>
      </c>
      <c r="L490" s="10">
        <f t="shared" si="38"/>
        <v>1459223091560.7373</v>
      </c>
      <c r="M490" s="4">
        <f t="shared" si="39"/>
        <v>-567967196.54162812</v>
      </c>
    </row>
    <row r="491" spans="1:13" x14ac:dyDescent="0.2">
      <c r="A491" s="1">
        <v>1</v>
      </c>
      <c r="B491">
        <v>3</v>
      </c>
      <c r="C491">
        <v>2</v>
      </c>
      <c r="D491">
        <v>1650000</v>
      </c>
      <c r="E491">
        <v>1922</v>
      </c>
      <c r="F491">
        <v>1483</v>
      </c>
      <c r="G491">
        <v>1113</v>
      </c>
      <c r="H491">
        <v>106</v>
      </c>
      <c r="I491" s="4">
        <f t="shared" si="35"/>
        <v>204845</v>
      </c>
      <c r="J491" s="6">
        <f t="shared" si="36"/>
        <v>14273237.535045722</v>
      </c>
      <c r="K491" s="8">
        <f t="shared" si="37"/>
        <v>-1377</v>
      </c>
      <c r="L491" s="10">
        <f t="shared" si="38"/>
        <v>2907915229489.9351</v>
      </c>
      <c r="M491" s="4">
        <f t="shared" si="39"/>
        <v>-3940495078.2123084</v>
      </c>
    </row>
    <row r="492" spans="1:13" x14ac:dyDescent="0.2">
      <c r="A492" s="1">
        <v>1</v>
      </c>
      <c r="B492">
        <v>1</v>
      </c>
      <c r="C492">
        <v>1</v>
      </c>
      <c r="D492">
        <v>649000</v>
      </c>
      <c r="E492">
        <v>1983</v>
      </c>
      <c r="F492">
        <v>850</v>
      </c>
      <c r="G492">
        <v>764</v>
      </c>
      <c r="H492">
        <v>163</v>
      </c>
      <c r="I492" s="4">
        <f t="shared" si="35"/>
        <v>323993</v>
      </c>
      <c r="J492" s="6">
        <f t="shared" si="36"/>
        <v>11406208.712302288</v>
      </c>
      <c r="K492" s="8">
        <f t="shared" si="37"/>
        <v>-687</v>
      </c>
      <c r="L492" s="10">
        <f t="shared" si="38"/>
        <v>3686817435868.7563</v>
      </c>
      <c r="M492" s="4">
        <f t="shared" si="39"/>
        <v>-980402092.52787197</v>
      </c>
    </row>
    <row r="493" spans="1:13" x14ac:dyDescent="0.2">
      <c r="A493" s="1">
        <v>1</v>
      </c>
      <c r="B493">
        <v>3</v>
      </c>
      <c r="C493">
        <v>2</v>
      </c>
      <c r="D493">
        <v>995000</v>
      </c>
      <c r="E493">
        <v>1956</v>
      </c>
      <c r="F493">
        <v>1305</v>
      </c>
      <c r="G493">
        <v>762</v>
      </c>
      <c r="H493">
        <v>216</v>
      </c>
      <c r="I493" s="4">
        <f t="shared" si="35"/>
        <v>423258</v>
      </c>
      <c r="J493" s="6">
        <f t="shared" si="36"/>
        <v>18679483.631524097</v>
      </c>
      <c r="K493" s="8">
        <f t="shared" si="37"/>
        <v>-1089</v>
      </c>
      <c r="L493" s="10">
        <f t="shared" si="38"/>
        <v>7892007116384.4043</v>
      </c>
      <c r="M493" s="4">
        <f t="shared" si="39"/>
        <v>-5100228005.4509697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BD Variables Adicionales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CASTRO</dc:creator>
  <cp:lastModifiedBy>carlos castro</cp:lastModifiedBy>
  <dcterms:created xsi:type="dcterms:W3CDTF">2023-04-19T15:56:58Z</dcterms:created>
  <dcterms:modified xsi:type="dcterms:W3CDTF">2024-11-05T05:12:10Z</dcterms:modified>
</cp:coreProperties>
</file>